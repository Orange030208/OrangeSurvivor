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参数参考" sheetId="2" state="visible" r:id="rId2"/>
    <sheet xmlns:r="http://schemas.openxmlformats.org/officeDocument/2006/relationships" name="01_属性价值" sheetId="3" state="visible" r:id="rId3"/>
    <sheet xmlns:r="http://schemas.openxmlformats.org/officeDocument/2006/relationships" name="02_升级卡" sheetId="4" state="visible" r:id="rId4"/>
    <sheet xmlns:r="http://schemas.openxmlformats.org/officeDocument/2006/relationships" name="03_饰品" sheetId="5" state="visible" r:id="rId5"/>
    <sheet xmlns:r="http://schemas.openxmlformats.org/officeDocument/2006/relationships" name="04_武器主表" sheetId="6" state="visible" r:id="rId6"/>
    <sheet xmlns:r="http://schemas.openxmlformats.org/officeDocument/2006/relationships" name="05_武器等级" sheetId="7" state="visible" r:id="rId7"/>
    <sheet xmlns:r="http://schemas.openxmlformats.org/officeDocument/2006/relationships" name="06_怪物主表" sheetId="8" state="visible" r:id="rId8"/>
    <sheet xmlns:r="http://schemas.openxmlformats.org/officeDocument/2006/relationships" name="07_怪物波次池" sheetId="9" state="visible" r:id="rId9"/>
    <sheet xmlns:r="http://schemas.openxmlformats.org/officeDocument/2006/relationships" name="08_波次" sheetId="10" state="visible" r:id="rId10"/>
    <sheet xmlns:r="http://schemas.openxmlformats.org/officeDocument/2006/relationships" name="09_商店内容池" sheetId="11" state="visible" r:id="rId11"/>
    <sheet xmlns:r="http://schemas.openxmlformats.org/officeDocument/2006/relationships" name="10_掉落奖励池" sheetId="12" state="visible" r:id="rId12"/>
    <sheet xmlns:r="http://schemas.openxmlformats.org/officeDocument/2006/relationships" name="11_校验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InfoTable" displayName="InfoTable" ref="A1:B6" headerRowCount="1">
  <autoFilter ref="A1:B6"/>
  <tableColumns count="2">
    <tableColumn id="1" name="用途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ferenceTable" displayName="ReferenceTable" ref="A1:E10" headerRowCount="1">
  <autoFilter ref="A1:E10"/>
  <tableColumns count="5">
    <tableColumn id="1" name="类型"/>
    <tableColumn id="2" name="名称"/>
    <tableColumn id="3" name="值1"/>
    <tableColumn id="4" name="值2"/>
    <tableColumn id="5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tributeValueTable" displayName="AttributeValueTable" ref="A1:F30" headerRowCount="1">
  <autoFilter ref="A1:F30"/>
  <tableColumns count="6">
    <tableColumn id="1" name="属性"/>
    <tableColumn id="2" name="配置单位"/>
    <tableColumn id="3" name="常规属性"/>
    <tableColumn id="4" name="价值/点"/>
    <tableColumn id="5" name="消费侧边界"/>
    <tableColumn id="6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pgradeCardTable" displayName="UpgradeCardTable" ref="A1:Q80" headerRowCount="1">
  <autoFilter ref="A1:Q80"/>
  <tableColumns count="17">
    <tableColumn id="1" name="卡片ID"/>
    <tableColumn id="2" name="卡片族ID"/>
    <tableColumn id="3" name="显示名"/>
    <tableColumn id="4" name="方向"/>
    <tableColumn id="5" name="稀有度"/>
    <tableColumn id="6" name="属性"/>
    <tableColumn id="7" name="数值"/>
    <tableColumn id="8" name="属性BP"/>
    <tableColumn id="9" name="条件修正"/>
    <tableColumn id="10" name="修正后BP"/>
    <tableColumn id="11" name="稀有度目标BP"/>
    <tableColumn id="12" name="BP偏差"/>
    <tableColumn id="13" name="开放波次"/>
    <tableColumn id="14" name="基础权重"/>
    <tableColumn id="15" name="已选权重调整"/>
    <tableColumn id="16" name="重复口径"/>
    <tableColumn id="17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cessoryTable" displayName="AccessoryTable" ref="A1:R33" headerRowCount="1">
  <autoFilter ref="A1:R33"/>
  <tableColumns count="18">
    <tableColumn id="1" name="饰品ID"/>
    <tableColumn id="2" name="名称"/>
    <tableColumn id="3" name="品质"/>
    <tableColumn id="4" name="定位"/>
    <tableColumn id="5" name="正向属性/机制"/>
    <tableColumn id="6" name="正向BP"/>
    <tableColumn id="7" name="负向回收BP"/>
    <tableColumn id="8" name="机制BP"/>
    <tableColumn id="9" name="生存衰减"/>
    <tableColumn id="10" name="最终BP"/>
    <tableColumn id="11" name="参考价"/>
    <tableColumn id="12" name="实际价"/>
    <tableColumn id="13" name="回收价"/>
    <tableColumn id="14" name="重复口径"/>
    <tableColumn id="15" name="入口"/>
    <tableColumn id="16" name="开放波次"/>
    <tableColumn id="17" name="基础权重"/>
    <tableColumn id="18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Table4" displayName="TemplateTable4" ref="A1:L11" headerRowCount="1">
  <autoFilter ref="A1:L11"/>
  <tableColumns count="12">
    <tableColumn id="1" name="武器ID"/>
    <tableColumn id="2" name="名称"/>
    <tableColumn id="3" name="品质"/>
    <tableColumn id="4" name="主标签"/>
    <tableColumn id="5" name="副标签"/>
    <tableColumn id="6" name="定位"/>
    <tableColumn id="7" name="基础开放波次"/>
    <tableColumn id="8" name="基础权重"/>
    <tableColumn id="9" name="1级价格"/>
    <tableColumn id="10" name="1级总BP"/>
    <tableColumn id="11" name="目标价格偏差"/>
    <tableColumn id="12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mplateTable5" displayName="TemplateTable5" ref="A1:W11" headerRowCount="1">
  <autoFilter ref="A1:W11"/>
  <tableColumns count="23">
    <tableColumn id="1" name="武器ID"/>
    <tableColumn id="2" name="等级"/>
    <tableColumn id="3" name="Attack"/>
    <tableColumn id="4" name="AttackSpeed"/>
    <tableColumn id="5" name="CriticalChance"/>
    <tableColumn id="6" name="CriticalPercent"/>
    <tableColumn id="7" name="Range"/>
    <tableColumn id="8" name="Knockback"/>
    <tableColumn id="9" name="MeleeUsage"/>
    <tableColumn id="10" name="RangedUsage"/>
    <tableColumn id="11" name="MagicUsage"/>
    <tableColumn id="12" name="SummonUsage"/>
    <tableColumn id="13" name="收益率"/>
    <tableColumn id="14" name="持有者属性"/>
    <tableColumn id="15" name="单体DPS"/>
    <tableColumn id="16" name="群体修正"/>
    <tableColumn id="17" name="机制修正"/>
    <tableColumn id="18" name="安全修正"/>
    <tableColumn id="19" name="等效DPS"/>
    <tableColumn id="20" name="等级价值倍率"/>
    <tableColumn id="21" name="等级价格"/>
    <tableColumn id="22" name="价格偏差"/>
    <tableColumn id="23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emplateTable6" displayName="TemplateTable6" ref="A1:S11" headerRowCount="1">
  <autoFilter ref="A1:S11"/>
  <tableColumns count="19">
    <tableColumn id="1" name="怪物ID"/>
    <tableColumn id="2" name="名称"/>
    <tableColumn id="3" name="定位"/>
    <tableColumn id="4" name="MaxHealth"/>
    <tableColumn id="5" name="Attack"/>
    <tableColumn id="6" name="AttackSpeed"/>
    <tableColumn id="7" name="MoveSpeed"/>
    <tableColumn id="8" name="DetectionRange"/>
    <tableColumn id="9" name="AttackRange"/>
    <tableColumn id="10" name="Armor"/>
    <tableColumn id="11" name="KnockbackResistance"/>
    <tableColumn id="12" name="行为参数"/>
    <tableColumn id="13" name="奖励基准"/>
    <tableColumn id="14" name="默认标签"/>
    <tableColumn id="15" name="命中可靠性"/>
    <tableColumn id="16" name="预期接触率"/>
    <tableColumn id="17" name="单体生存压力"/>
    <tableColumn id="18" name="单体伤害压力"/>
    <tableColumn id="19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emplateTable7" displayName="TemplateTable7" ref="A1:K11" headerRowCount="1">
  <autoFilter ref="A1:K11"/>
  <tableColumns count="11">
    <tableColumn id="1" name="怪物ID"/>
    <tableColumn id="2" name="波次段"/>
    <tableColumn id="3" name="权重"/>
    <tableColumn id="4" name="数量占比"/>
    <tableColumn id="5" name="额外压力标签"/>
    <tableColumn id="6" name="生成位置"/>
    <tableColumn id="7" name="奖励修正"/>
    <tableColumn id="8" name="关键波次面板"/>
    <tableColumn id="9" name="目标击杀时间"/>
    <tableColumn id="10" name="压力贡献"/>
    <tableColumn id="11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emplateTable8" displayName="TemplateTable8" ref="A1:P11" headerRowCount="1">
  <autoFilter ref="A1:P11"/>
  <tableColumns count="16">
    <tableColumn id="1" name="波次ID"/>
    <tableColumn id="2" name="持续时间"/>
    <tableColumn id="3" name="目标玩家状态"/>
    <tableColumn id="4" name="总刷怪数量"/>
    <tableColumn id="5" name="每分钟密度"/>
    <tableColumn id="6" name="时间分布"/>
    <tableColumn id="7" name="目标同屏数量"/>
    <tableColumn id="8" name="波次总生命池"/>
    <tableColumn id="9" name="清场需求DPS"/>
    <tableColumn id="10" name="波次总伤害压力"/>
    <tableColumn id="11" name="普通怪结构"/>
    <tableColumn id="12" name="精英节奏"/>
    <tableColumn id="13" name="Boss节奏"/>
    <tableColumn id="14" name="生成位置"/>
    <tableColumn id="15" name="掉落/经济目标"/>
    <tableColumn id="16" name="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emplateTable9" displayName="TemplateTable9" ref="A1:M11" headerRowCount="1">
  <autoFilter ref="A1:M11"/>
  <tableColumns count="13">
    <tableColumn id="1" name="池条目ID"/>
    <tableColumn id="2" name="内容类型"/>
    <tableColumn id="3" name="内容ID"/>
    <tableColumn id="4" name="品质/等级"/>
    <tableColumn id="5" name="开放波次"/>
    <tableColumn id="6" name="关闭波次"/>
    <tableColumn id="7" name="基础权重"/>
    <tableColumn id="8" name="幸运系数"/>
    <tableColumn id="9" name="内容池价格倍率"/>
    <tableColumn id="10" name="重复规则"/>
    <tableColumn id="11" name="替代规则"/>
    <tableColumn id="12" name="期望入口"/>
    <tableColumn id="13" name="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emplateTable10" displayName="TemplateTable10" ref="A1:N11" headerRowCount="1">
  <autoFilter ref="A1:N11"/>
  <tableColumns count="14">
    <tableColumn id="1" name="奖励池ID"/>
    <tableColumn id="2" name="来源类型"/>
    <tableColumn id="3" name="来源ID"/>
    <tableColumn id="4" name="击杀经验"/>
    <tableColumn id="5" name="奖励掉落率"/>
    <tableColumn id="6" name="掉落率上限"/>
    <tableColumn id="7" name="产物类型"/>
    <tableColumn id="8" name="产物ID或池"/>
    <tableColumn id="9" name="产物数量/价值"/>
    <tableColumn id="10" name="基础权重"/>
    <tableColumn id="11" name="幸运系数"/>
    <tableColumn id="12" name="品质/等级权重"/>
    <tableColumn id="13" name="期望收益"/>
    <tableColumn id="14" name="备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emplateTable11" displayName="TemplateTable11" ref="A1:P11" headerRowCount="1">
  <autoFilter ref="A1:P11"/>
  <tableColumns count="16">
    <tableColumn id="1" name="校验ID"/>
    <tableColumn id="2" name="波次"/>
    <tableColumn id="3" name="标准构筑"/>
    <tableColumn id="4" name="玩家状态"/>
    <tableColumn id="5" name="武器状态"/>
    <tableColumn id="6" name="饰品状态"/>
    <tableColumn id="7" name="有效单体DPS"/>
    <tableColumn id="8" name="群体等效DPS"/>
    <tableColumn id="9" name="瞬时EHP"/>
    <tableColumn id="10" name="持续生存"/>
    <tableColumn id="11" name="普通怪击杀时间"/>
    <tableColumn id="12" name="重型/精英/Boss击杀时间"/>
    <tableColumn id="13" name="清场压力"/>
    <tableColumn id="14" name="经济偏差"/>
    <tableColumn id="15" name="问题归因"/>
    <tableColumn id="16" name="调整建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 ht="30" customHeight="1">
      <c r="A1" s="1" t="inlineStr">
        <is>
          <t>用途</t>
        </is>
      </c>
      <c r="B1" s="1" t="inlineStr">
        <is>
          <t>说明</t>
        </is>
      </c>
    </row>
    <row r="2">
      <c r="A2" s="2" t="inlineStr">
        <is>
          <t>来源</t>
        </is>
      </c>
      <c r="B2" s="2" t="inlineStr">
        <is>
          <t>基于 Docs/玩法数值规范.md 当前数值口径生成。</t>
        </is>
      </c>
    </row>
    <row r="3">
      <c r="A3" s="2" t="inlineStr">
        <is>
          <t>编辑规则</t>
        </is>
      </c>
      <c r="B3" s="2" t="inlineStr">
        <is>
          <t>配置列可以手填；校验列可由公式计算，资产落地前需要检查 BP、价格、权重和开放波次。</t>
        </is>
      </c>
    </row>
    <row r="4">
      <c r="A4" s="2" t="inlineStr">
        <is>
          <t>当前已填</t>
        </is>
      </c>
      <c r="B4" s="2" t="inlineStr">
        <is>
          <t>属性价值、升级卡、饰品。</t>
        </is>
      </c>
    </row>
    <row r="5">
      <c r="A5" s="2" t="inlineStr">
        <is>
          <t>当前仅建表头</t>
        </is>
      </c>
      <c r="B5" s="2" t="inlineStr">
        <is>
          <t>武器主表、武器等级表、怪物主表、怪物波次池、波次、商店内容池、掉落奖励池、校验汇总。</t>
        </is>
      </c>
    </row>
    <row r="6">
      <c r="A6" s="2" t="inlineStr">
        <is>
          <t>注意</t>
        </is>
      </c>
      <c r="B6" s="2" t="inlineStr">
        <is>
          <t>本 Excel 是数值设计表，不代表已经写入 Unity 资产。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5" customWidth="1" min="5" max="5"/>
  </cols>
  <sheetData>
    <row r="1" ht="30" customHeight="1">
      <c r="A1" s="1" t="inlineStr">
        <is>
          <t>类型</t>
        </is>
      </c>
      <c r="B1" s="1" t="inlineStr">
        <is>
          <t>名称</t>
        </is>
      </c>
      <c r="C1" s="1" t="inlineStr">
        <is>
          <t>值1</t>
        </is>
      </c>
      <c r="D1" s="1" t="inlineStr">
        <is>
          <t>值2</t>
        </is>
      </c>
      <c r="E1" s="1" t="inlineStr">
        <is>
          <t>说明</t>
        </is>
      </c>
    </row>
    <row r="2">
      <c r="A2" s="2" t="inlineStr">
        <is>
          <t>升级卡稀有度BP</t>
        </is>
      </c>
      <c r="B2" s="2" t="inlineStr">
        <is>
          <t>Common</t>
        </is>
      </c>
      <c r="C2" s="3" t="n">
        <v>100</v>
      </c>
      <c r="D2" s="2" t="inlineStr"/>
      <c r="E2" s="2" t="inlineStr">
        <is>
          <t>允许约 10% 浮动</t>
        </is>
      </c>
    </row>
    <row r="3">
      <c r="A3" s="2" t="inlineStr">
        <is>
          <t>升级卡稀有度BP</t>
        </is>
      </c>
      <c r="B3" s="2" t="inlineStr">
        <is>
          <t>Rare</t>
        </is>
      </c>
      <c r="C3" s="3" t="n">
        <v>150</v>
      </c>
      <c r="D3" s="2" t="inlineStr"/>
      <c r="E3" s="2" t="inlineStr">
        <is>
          <t>允许约 10% 浮动</t>
        </is>
      </c>
    </row>
    <row r="4">
      <c r="A4" s="2" t="inlineStr">
        <is>
          <t>升级卡稀有度BP</t>
        </is>
      </c>
      <c r="B4" s="2" t="inlineStr">
        <is>
          <t>Epic</t>
        </is>
      </c>
      <c r="C4" s="3" t="n">
        <v>225</v>
      </c>
      <c r="D4" s="2" t="inlineStr"/>
      <c r="E4" s="2" t="inlineStr">
        <is>
          <t>允许约 10% 浮动</t>
        </is>
      </c>
    </row>
    <row r="5">
      <c r="A5" s="2" t="inlineStr">
        <is>
          <t>升级卡稀有度BP</t>
        </is>
      </c>
      <c r="B5" s="2" t="inlineStr">
        <is>
          <t>Legendary</t>
        </is>
      </c>
      <c r="C5" s="3" t="n">
        <v>350</v>
      </c>
      <c r="D5" s="2" t="inlineStr"/>
      <c r="E5" s="2" t="inlineStr">
        <is>
          <t>允许约 10% 浮动</t>
        </is>
      </c>
    </row>
    <row r="6">
      <c r="A6" s="2" t="inlineStr">
        <is>
          <t>饰品品质BP</t>
        </is>
      </c>
      <c r="B6" s="2" t="inlineStr">
        <is>
          <t>Common</t>
        </is>
      </c>
      <c r="C6" s="3" t="n">
        <v>60</v>
      </c>
      <c r="D6" s="3" t="n">
        <v>110</v>
      </c>
      <c r="E6" s="2" t="inlineStr">
        <is>
          <t>参考价 15-28 金币</t>
        </is>
      </c>
    </row>
    <row r="7">
      <c r="A7" s="2" t="inlineStr">
        <is>
          <t>饰品品质BP</t>
        </is>
      </c>
      <c r="B7" s="2" t="inlineStr">
        <is>
          <t>Rare</t>
        </is>
      </c>
      <c r="C7" s="3" t="n">
        <v>110</v>
      </c>
      <c r="D7" s="3" t="n">
        <v>180</v>
      </c>
      <c r="E7" s="2" t="inlineStr">
        <is>
          <t>参考价 28-45 金币</t>
        </is>
      </c>
    </row>
    <row r="8">
      <c r="A8" s="2" t="inlineStr">
        <is>
          <t>饰品品质BP</t>
        </is>
      </c>
      <c r="B8" s="2" t="inlineStr">
        <is>
          <t>Epic</t>
        </is>
      </c>
      <c r="C8" s="3" t="n">
        <v>180</v>
      </c>
      <c r="D8" s="3" t="n">
        <v>280</v>
      </c>
      <c r="E8" s="2" t="inlineStr">
        <is>
          <t>参考价 45-70 金币</t>
        </is>
      </c>
    </row>
    <row r="9">
      <c r="A9" s="2" t="inlineStr">
        <is>
          <t>饰品品质BP</t>
        </is>
      </c>
      <c r="B9" s="2" t="inlineStr">
        <is>
          <t>Legendary</t>
        </is>
      </c>
      <c r="C9" s="3" t="n">
        <v>280</v>
      </c>
      <c r="D9" s="3" t="n">
        <v>500</v>
      </c>
      <c r="E9" s="2" t="inlineStr">
        <is>
          <t>参考价 70-125 金币</t>
        </is>
      </c>
    </row>
    <row r="10">
      <c r="A10" s="2" t="inlineStr">
        <is>
          <t>金币购买力</t>
        </is>
      </c>
      <c r="B10" s="2" t="inlineStr">
        <is>
          <t>1 金币</t>
        </is>
      </c>
      <c r="C10" s="3" t="n">
        <v>4</v>
      </c>
      <c r="D10" s="2" t="inlineStr"/>
      <c r="E10" s="2" t="inlineStr">
        <is>
          <t>1 金币 = 4 BP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20" customWidth="1" min="5" max="5"/>
    <col width="21" customWidth="1" min="6" max="6"/>
  </cols>
  <sheetData>
    <row r="1" ht="30" customHeight="1">
      <c r="A1" s="1" t="inlineStr">
        <is>
          <t>属性</t>
        </is>
      </c>
      <c r="B1" s="1" t="inlineStr">
        <is>
          <t>配置单位</t>
        </is>
      </c>
      <c r="C1" s="1" t="inlineStr">
        <is>
          <t>常规属性</t>
        </is>
      </c>
      <c r="D1" s="1" t="inlineStr">
        <is>
          <t>价值/点</t>
        </is>
      </c>
      <c r="E1" s="1" t="inlineStr">
        <is>
          <t>消费侧边界</t>
        </is>
      </c>
      <c r="F1" s="1" t="inlineStr">
        <is>
          <t>备注</t>
        </is>
      </c>
    </row>
    <row r="2">
      <c r="A2" s="2" t="inlineStr">
        <is>
          <t>Attack</t>
        </is>
      </c>
      <c r="B2" s="2" t="inlineStr">
        <is>
          <t>点数</t>
        </is>
      </c>
      <c r="C2" s="2" t="inlineStr">
        <is>
          <t>否</t>
        </is>
      </c>
      <c r="D2" s="3" t="n">
        <v>40</v>
      </c>
      <c r="E2" s="2" t="inlineStr">
        <is>
          <t>最终有效攻击不低于 0</t>
        </is>
      </c>
      <c r="F2" s="2" t="inlineStr">
        <is>
          <t>非常规升级卡属性，主要用于武器/饰品。</t>
        </is>
      </c>
    </row>
    <row r="3">
      <c r="A3" s="2" t="inlineStr">
        <is>
          <t>Damage</t>
        </is>
      </c>
      <c r="B3" s="2" t="inlineStr">
        <is>
          <t>百分比点</t>
        </is>
      </c>
      <c r="C3" s="2" t="inlineStr">
        <is>
          <t>是</t>
        </is>
      </c>
      <c r="D3" s="3" t="n">
        <v>20</v>
      </c>
      <c r="E3" s="2" t="inlineStr">
        <is>
          <t>最终伤害不低于 0</t>
        </is>
      </c>
      <c r="F3" s="2" t="inlineStr">
        <is>
          <t>通用输出锚点。</t>
        </is>
      </c>
    </row>
    <row r="4">
      <c r="A4" s="2" t="inlineStr">
        <is>
          <t>MeleeAttack</t>
        </is>
      </c>
      <c r="B4" s="2" t="inlineStr">
        <is>
          <t>点数</t>
        </is>
      </c>
      <c r="C4" s="2" t="inlineStr">
        <is>
          <t>是</t>
        </is>
      </c>
      <c r="D4" s="3" t="n">
        <v>20</v>
      </c>
      <c r="E4" s="2" t="inlineStr">
        <is>
          <t>最终武器伤害不低于 0</t>
        </is>
      </c>
      <c r="F4" s="2" t="inlineStr">
        <is>
          <t>受武器收益率影响。</t>
        </is>
      </c>
    </row>
    <row r="5">
      <c r="A5" s="2" t="inlineStr">
        <is>
          <t>RangedAttack</t>
        </is>
      </c>
      <c r="B5" s="2" t="inlineStr">
        <is>
          <t>点数</t>
        </is>
      </c>
      <c r="C5" s="2" t="inlineStr">
        <is>
          <t>是</t>
        </is>
      </c>
      <c r="D5" s="3" t="n">
        <v>20</v>
      </c>
      <c r="E5" s="2" t="inlineStr">
        <is>
          <t>最终武器伤害不低于 0</t>
        </is>
      </c>
      <c r="F5" s="2" t="inlineStr">
        <is>
          <t>受武器收益率影响。</t>
        </is>
      </c>
    </row>
    <row r="6">
      <c r="A6" s="2" t="inlineStr">
        <is>
          <t>MagicAttack</t>
        </is>
      </c>
      <c r="B6" s="2" t="inlineStr">
        <is>
          <t>点数</t>
        </is>
      </c>
      <c r="C6" s="2" t="inlineStr">
        <is>
          <t>是</t>
        </is>
      </c>
      <c r="D6" s="3" t="n">
        <v>20</v>
      </c>
      <c r="E6" s="2" t="inlineStr">
        <is>
          <t>最终武器伤害不低于 0</t>
        </is>
      </c>
      <c r="F6" s="2" t="inlineStr">
        <is>
          <t>受武器收益率影响。</t>
        </is>
      </c>
    </row>
    <row r="7">
      <c r="A7" s="2" t="inlineStr">
        <is>
          <t>SummonAttack</t>
        </is>
      </c>
      <c r="B7" s="2" t="inlineStr">
        <is>
          <t>点数</t>
        </is>
      </c>
      <c r="C7" s="2" t="inlineStr">
        <is>
          <t>是</t>
        </is>
      </c>
      <c r="D7" s="3" t="n">
        <v>20</v>
      </c>
      <c r="E7" s="2" t="inlineStr">
        <is>
          <t>最终武器伤害不低于 0</t>
        </is>
      </c>
      <c r="F7" s="2" t="inlineStr">
        <is>
          <t>受武器收益率影响。</t>
        </is>
      </c>
    </row>
    <row r="8">
      <c r="A8" s="2" t="inlineStr">
        <is>
          <t>AttackSpeed</t>
        </is>
      </c>
      <c r="B8" s="2" t="inlineStr">
        <is>
          <t>攻速点</t>
        </is>
      </c>
      <c r="C8" s="2" t="inlineStr">
        <is>
          <t>是</t>
        </is>
      </c>
      <c r="D8" s="3" t="n">
        <v>20</v>
      </c>
      <c r="E8" s="2" t="inlineStr">
        <is>
          <t>最终有效攻击速度不低于 1</t>
        </is>
      </c>
      <c r="F8" s="2" t="inlineStr">
        <is>
          <t>高频触发武器需靠收益率限制。</t>
        </is>
      </c>
    </row>
    <row r="9">
      <c r="A9" s="2" t="inlineStr">
        <is>
          <t>CriticalChance</t>
        </is>
      </c>
      <c r="B9" s="2" t="inlineStr">
        <is>
          <t>百分比点</t>
        </is>
      </c>
      <c r="C9" s="2" t="inlineStr">
        <is>
          <t>是</t>
        </is>
      </c>
      <c r="D9" s="3" t="n">
        <v>50</v>
      </c>
      <c r="E9" s="2" t="inlineStr">
        <is>
          <t>0%-100%</t>
        </is>
      </c>
      <c r="F9" s="2" t="inlineStr">
        <is>
          <t>乘法入口，权重保守。</t>
        </is>
      </c>
    </row>
    <row r="10">
      <c r="A10" s="2" t="inlineStr">
        <is>
          <t>CriticalPercent</t>
        </is>
      </c>
      <c r="B10" s="2" t="inlineStr">
        <is>
          <t>百分比点</t>
        </is>
      </c>
      <c r="C10" s="2" t="inlineStr">
        <is>
          <t>是</t>
        </is>
      </c>
      <c r="D10" s="3" t="n">
        <v>12</v>
      </c>
      <c r="E10" s="2" t="inlineStr">
        <is>
          <t>最终暴击倍率不低于 1x</t>
        </is>
      </c>
      <c r="F10" s="2" t="inlineStr">
        <is>
          <t>后期暴击属性，前期低暴击率应折扣。</t>
        </is>
      </c>
    </row>
    <row r="11">
      <c r="A11" s="2" t="inlineStr">
        <is>
          <t>MoveSpeed</t>
        </is>
      </c>
      <c r="B11" s="2" t="inlineStr">
        <is>
          <t>距离点/秒</t>
        </is>
      </c>
      <c r="C11" s="2" t="inlineStr">
        <is>
          <t>是</t>
        </is>
      </c>
      <c r="D11" s="3" t="n">
        <v>10</v>
      </c>
      <c r="E11" s="2" t="inlineStr">
        <is>
          <t>按局部最小值保护</t>
        </is>
      </c>
      <c r="F11" s="2" t="inlineStr">
        <is>
          <t>手感和走位属性。</t>
        </is>
      </c>
    </row>
    <row r="12">
      <c r="A12" s="2" t="inlineStr">
        <is>
          <t>MaxHealth</t>
        </is>
      </c>
      <c r="B12" s="2" t="inlineStr">
        <is>
          <t>点数</t>
        </is>
      </c>
      <c r="C12" s="2" t="inlineStr">
        <is>
          <t>是</t>
        </is>
      </c>
      <c r="D12" s="3" t="n">
        <v>5</v>
      </c>
      <c r="E12" s="2" t="inlineStr">
        <is>
          <t>最低为 1</t>
        </is>
      </c>
      <c r="F12" s="2" t="inlineStr">
        <is>
          <t>生命锚点。</t>
        </is>
      </c>
    </row>
    <row r="13">
      <c r="A13" s="2" t="inlineStr">
        <is>
          <t>DetectionRange</t>
        </is>
      </c>
      <c r="B13" s="2" t="inlineStr">
        <is>
          <t>距离点</t>
        </is>
      </c>
      <c r="C13" s="2" t="inlineStr">
        <is>
          <t>否</t>
        </is>
      </c>
      <c r="D13" s="2" t="inlineStr"/>
      <c r="E13" s="2" t="inlineStr">
        <is>
          <t>当前无统一下限</t>
        </is>
      </c>
      <c r="F13" s="2" t="inlineStr">
        <is>
          <t>怪物/索敌配置。</t>
        </is>
      </c>
    </row>
    <row r="14">
      <c r="A14" s="2" t="inlineStr">
        <is>
          <t>HealthRecoverySpeed</t>
        </is>
      </c>
      <c r="B14" s="2" t="inlineStr">
        <is>
          <t>回复点</t>
        </is>
      </c>
      <c r="C14" s="2" t="inlineStr">
        <is>
          <t>是</t>
        </is>
      </c>
      <c r="D14" s="3" t="n">
        <v>10</v>
      </c>
      <c r="E14" s="2" t="inlineStr">
        <is>
          <t>最低为 0</t>
        </is>
      </c>
      <c r="F14" s="2" t="inlineStr">
        <is>
          <t>当前实战稳定性高于吸血。</t>
        </is>
      </c>
    </row>
    <row r="15">
      <c r="A15" s="2" t="inlineStr">
        <is>
          <t>Armor</t>
        </is>
      </c>
      <c r="B15" s="2" t="inlineStr">
        <is>
          <t>点数</t>
        </is>
      </c>
      <c r="C15" s="2" t="inlineStr">
        <is>
          <t>是</t>
        </is>
      </c>
      <c r="D15" s="3" t="n">
        <v>80</v>
      </c>
      <c r="E15" s="2" t="inlineStr">
        <is>
          <t>结算下限 -95，总减伤上限 95%</t>
        </is>
      </c>
      <c r="F15" s="2" t="inlineStr">
        <is>
          <t>单点价值高。</t>
        </is>
      </c>
    </row>
    <row r="16">
      <c r="A16" s="2" t="inlineStr">
        <is>
          <t>Luck</t>
        </is>
      </c>
      <c r="B16" s="2" t="inlineStr">
        <is>
          <t>点数</t>
        </is>
      </c>
      <c r="C16" s="2" t="inlineStr">
        <is>
          <t>是</t>
        </is>
      </c>
      <c r="D16" s="3" t="n">
        <v>20</v>
      </c>
      <c r="E16" s="2" t="inlineStr">
        <is>
          <t>无统一边界</t>
        </is>
      </c>
      <c r="F16" s="2" t="inlineStr">
        <is>
          <t>同时影响奖励和商店权重。</t>
        </is>
      </c>
    </row>
    <row r="17">
      <c r="A17" s="2" t="inlineStr">
        <is>
          <t>Dodge</t>
        </is>
      </c>
      <c r="B17" s="2" t="inlineStr">
        <is>
          <t>百分比点</t>
        </is>
      </c>
      <c r="C17" s="2" t="inlineStr">
        <is>
          <t>是</t>
        </is>
      </c>
      <c r="D17" s="3" t="n">
        <v>33</v>
      </c>
      <c r="E17" s="2" t="inlineStr">
        <is>
          <t>有效 0%-50%</t>
        </is>
      </c>
      <c r="F17" s="2" t="inlineStr">
        <is>
          <t>波动生存属性。</t>
        </is>
      </c>
    </row>
    <row r="18">
      <c r="A18" s="2" t="inlineStr">
        <is>
          <t>LifeSteal</t>
        </is>
      </c>
      <c r="B18" s="2" t="inlineStr">
        <is>
          <t>百分比点</t>
        </is>
      </c>
      <c r="C18" s="2" t="inlineStr">
        <is>
          <t>否</t>
        </is>
      </c>
      <c r="D18" s="3" t="n">
        <v>20</v>
      </c>
      <c r="E18" s="2" t="inlineStr">
        <is>
          <t>最低为 0</t>
        </is>
      </c>
      <c r="F18" s="2" t="inlineStr">
        <is>
          <t>当前实战低稳定性。</t>
        </is>
      </c>
    </row>
    <row r="19">
      <c r="A19" s="2" t="inlineStr">
        <is>
          <t>PickupRadius</t>
        </is>
      </c>
      <c r="B19" s="2" t="inlineStr">
        <is>
          <t>距离点</t>
        </is>
      </c>
      <c r="C19" s="2" t="inlineStr">
        <is>
          <t>否</t>
        </is>
      </c>
      <c r="D19" s="3" t="n">
        <v>5</v>
      </c>
      <c r="E19" s="2" t="inlineStr">
        <is>
          <t>最低为 0</t>
        </is>
      </c>
      <c r="F19" s="2" t="inlineStr">
        <is>
          <t>拾取效率属性。</t>
        </is>
      </c>
    </row>
    <row r="20">
      <c r="A20" s="2" t="inlineStr">
        <is>
          <t>ProjectileSpeed</t>
        </is>
      </c>
      <c r="B20" s="2" t="inlineStr">
        <is>
          <t>点数</t>
        </is>
      </c>
      <c r="C20" s="2" t="inlineStr">
        <is>
          <t>否</t>
        </is>
      </c>
      <c r="D20" s="3" t="n">
        <v>5</v>
      </c>
      <c r="E20" s="2" t="inlineStr">
        <is>
          <t>当前无统一下限</t>
        </is>
      </c>
      <c r="F20" s="2" t="inlineStr">
        <is>
          <t>投射物手感属性。</t>
        </is>
      </c>
    </row>
    <row r="21">
      <c r="A21" s="2" t="inlineStr">
        <is>
          <t>AttackRange</t>
        </is>
      </c>
      <c r="B21" s="2" t="inlineStr">
        <is>
          <t>距离点</t>
        </is>
      </c>
      <c r="C21" s="2" t="inlineStr">
        <is>
          <t>是</t>
        </is>
      </c>
      <c r="D21" s="3" t="n">
        <v>8</v>
      </c>
      <c r="E21" s="2" t="inlineStr">
        <is>
          <t>最终攻击距离不低于 0.1 格</t>
        </is>
      </c>
      <c r="F21" s="2" t="inlineStr">
        <is>
          <t>影响安全距离和覆盖。</t>
        </is>
      </c>
    </row>
    <row r="22">
      <c r="A22" s="2" t="inlineStr">
        <is>
          <t>ProjectilePierceCount</t>
        </is>
      </c>
      <c r="B22" s="2" t="inlineStr">
        <is>
          <t>点数</t>
        </is>
      </c>
      <c r="C22" s="2" t="inlineStr">
        <is>
          <t>否</t>
        </is>
      </c>
      <c r="D22" s="3" t="n">
        <v>200</v>
      </c>
      <c r="E22" s="2" t="inlineStr">
        <is>
          <t>最终不低于 0，向下取整</t>
        </is>
      </c>
      <c r="F22" s="2" t="inlineStr">
        <is>
          <t>机制入口。</t>
        </is>
      </c>
    </row>
    <row r="23">
      <c r="A23" s="2" t="inlineStr">
        <is>
          <t>KnockbackStrength</t>
        </is>
      </c>
      <c r="B23" s="2" t="inlineStr">
        <is>
          <t>点数</t>
        </is>
      </c>
      <c r="C23" s="2" t="inlineStr">
        <is>
          <t>否</t>
        </is>
      </c>
      <c r="D23" s="3" t="n">
        <v>5</v>
      </c>
      <c r="E23" s="2" t="inlineStr">
        <is>
          <t>最终不低于 0</t>
        </is>
      </c>
      <c r="F23" s="2" t="inlineStr">
        <is>
          <t>高频武器应保守。</t>
        </is>
      </c>
    </row>
    <row r="24">
      <c r="A24" s="2" t="inlineStr">
        <is>
          <t>KnockbackResistance</t>
        </is>
      </c>
      <c r="B24" s="2" t="inlineStr">
        <is>
          <t>百分比点</t>
        </is>
      </c>
      <c r="C24" s="2" t="inlineStr">
        <is>
          <t>否</t>
        </is>
      </c>
      <c r="D24" s="3" t="n">
        <v>5</v>
      </c>
      <c r="E24" s="2" t="inlineStr">
        <is>
          <t>0%-100%</t>
        </is>
      </c>
      <c r="F24" s="2" t="inlineStr">
        <is>
          <t>怪物抗性属性。</t>
        </is>
      </c>
    </row>
    <row r="25">
      <c r="A25" s="2" t="inlineStr">
        <is>
          <t>ExperienceGain</t>
        </is>
      </c>
      <c r="B25" s="2" t="inlineStr">
        <is>
          <t>百分比点</t>
        </is>
      </c>
      <c r="C25" s="2" t="inlineStr">
        <is>
          <t>否</t>
        </is>
      </c>
      <c r="D25" s="3" t="n">
        <v>15</v>
      </c>
      <c r="E25" s="2" t="inlineStr">
        <is>
          <t>最低为 0</t>
        </is>
      </c>
      <c r="F25" s="2" t="inlineStr">
        <is>
          <t>越早越强。</t>
        </is>
      </c>
    </row>
    <row r="26">
      <c r="A26" s="2" t="inlineStr">
        <is>
          <t>ShopPriceDiscount</t>
        </is>
      </c>
      <c r="B26" s="2" t="inlineStr">
        <is>
          <t>百分比点</t>
        </is>
      </c>
      <c r="C26" s="2" t="inlineStr">
        <is>
          <t>否</t>
        </is>
      </c>
      <c r="D26" s="3" t="n">
        <v>15</v>
      </c>
      <c r="E26" s="2" t="inlineStr">
        <is>
          <t>最高 50% 折扣</t>
        </is>
      </c>
      <c r="F26" s="2" t="inlineStr">
        <is>
          <t>受剩余消费量影响。</t>
        </is>
      </c>
    </row>
    <row r="27">
      <c r="A27" s="2" t="inlineStr">
        <is>
          <t>WaveGoldRewardBonus</t>
        </is>
      </c>
      <c r="B27" s="2" t="inlineStr">
        <is>
          <t>点数</t>
        </is>
      </c>
      <c r="C27" s="2" t="inlineStr">
        <is>
          <t>否</t>
        </is>
      </c>
      <c r="D27" s="3" t="n">
        <v>12.5</v>
      </c>
      <c r="E27" s="2" t="inlineStr">
        <is>
          <t>最终不低于 0，向下取整</t>
        </is>
      </c>
      <c r="F27" s="2" t="inlineStr">
        <is>
          <t>越早越强。</t>
        </is>
      </c>
    </row>
    <row r="28">
      <c r="A28" s="2" t="inlineStr">
        <is>
          <t>DamageReduction</t>
        </is>
      </c>
      <c r="B28" s="2" t="inlineStr">
        <is>
          <t>百分比点</t>
        </is>
      </c>
      <c r="C28" s="2" t="inlineStr">
        <is>
          <t>否</t>
        </is>
      </c>
      <c r="D28" s="3" t="n">
        <v>25</v>
      </c>
      <c r="E28" s="2" t="inlineStr">
        <is>
          <t>0%-50%</t>
        </is>
      </c>
      <c r="F28" s="2" t="inlineStr">
        <is>
          <t>与护甲/闪避/回复复合放大。</t>
        </is>
      </c>
    </row>
    <row r="29">
      <c r="A29" s="2" t="inlineStr">
        <is>
          <t>HealingPower</t>
        </is>
      </c>
      <c r="B29" s="2" t="inlineStr">
        <is>
          <t>百分比点</t>
        </is>
      </c>
      <c r="C29" s="2" t="inlineStr">
        <is>
          <t>否</t>
        </is>
      </c>
      <c r="D29" s="3" t="n">
        <v>10</v>
      </c>
      <c r="E29" s="2" t="inlineStr">
        <is>
          <t>当前未形成统一消费口径</t>
        </is>
      </c>
      <c r="F29" s="2" t="inlineStr">
        <is>
          <t>依赖已有治疗来源。</t>
        </is>
      </c>
    </row>
    <row r="30">
      <c r="A30" s="2" t="inlineStr">
        <is>
          <t>WeaponSlotCount</t>
        </is>
      </c>
      <c r="B30" s="2" t="inlineStr">
        <is>
          <t>点数</t>
        </is>
      </c>
      <c r="C30" s="2" t="inlineStr">
        <is>
          <t>否</t>
        </is>
      </c>
      <c r="D30" s="3" t="n">
        <v>400</v>
      </c>
      <c r="E30" s="2" t="inlineStr">
        <is>
          <t>不低于当前已装备槽位数</t>
        </is>
      </c>
      <c r="F30" s="2" t="inlineStr">
        <is>
          <t>终局构筑容量机制。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1" customWidth="1" min="3" max="3"/>
    <col width="10" customWidth="1" min="4" max="4"/>
    <col width="11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9" customWidth="1" min="17" max="17"/>
  </cols>
  <sheetData>
    <row r="1" ht="30" customHeight="1">
      <c r="A1" s="1" t="inlineStr">
        <is>
          <t>卡片ID</t>
        </is>
      </c>
      <c r="B1" s="1" t="inlineStr">
        <is>
          <t>卡片族ID</t>
        </is>
      </c>
      <c r="C1" s="1" t="inlineStr">
        <is>
          <t>显示名</t>
        </is>
      </c>
      <c r="D1" s="1" t="inlineStr">
        <is>
          <t>方向</t>
        </is>
      </c>
      <c r="E1" s="1" t="inlineStr">
        <is>
          <t>稀有度</t>
        </is>
      </c>
      <c r="F1" s="1" t="inlineStr">
        <is>
          <t>属性</t>
        </is>
      </c>
      <c r="G1" s="1" t="inlineStr">
        <is>
          <t>数值</t>
        </is>
      </c>
      <c r="H1" s="1" t="inlineStr">
        <is>
          <t>属性BP</t>
        </is>
      </c>
      <c r="I1" s="1" t="inlineStr">
        <is>
          <t>条件修正</t>
        </is>
      </c>
      <c r="J1" s="1" t="inlineStr">
        <is>
          <t>修正后BP</t>
        </is>
      </c>
      <c r="K1" s="1" t="inlineStr">
        <is>
          <t>稀有度目标BP</t>
        </is>
      </c>
      <c r="L1" s="1" t="inlineStr">
        <is>
          <t>BP偏差</t>
        </is>
      </c>
      <c r="M1" s="1" t="inlineStr">
        <is>
          <t>开放波次</t>
        </is>
      </c>
      <c r="N1" s="1" t="inlineStr">
        <is>
          <t>基础权重</t>
        </is>
      </c>
      <c r="O1" s="1" t="inlineStr">
        <is>
          <t>已选权重调整</t>
        </is>
      </c>
      <c r="P1" s="1" t="inlineStr">
        <is>
          <t>重复口径</t>
        </is>
      </c>
      <c r="Q1" s="1" t="inlineStr">
        <is>
          <t>备注</t>
        </is>
      </c>
    </row>
    <row r="2">
      <c r="A2" s="2" t="inlineStr">
        <is>
          <t>Upgrade_Damage_Common</t>
        </is>
      </c>
      <c r="B2" s="2" t="inlineStr">
        <is>
          <t>Upgrade_Damage</t>
        </is>
      </c>
      <c r="C2" s="2" t="inlineStr">
        <is>
          <t>伤害强化-普通</t>
        </is>
      </c>
      <c r="D2" s="2" t="inlineStr">
        <is>
          <t>输出</t>
        </is>
      </c>
      <c r="E2" s="2" t="inlineStr">
        <is>
          <t>Common</t>
        </is>
      </c>
      <c r="F2" s="2" t="inlineStr">
        <is>
          <t>Damage</t>
        </is>
      </c>
      <c r="G2" s="3" t="n">
        <v>5</v>
      </c>
      <c r="H2" s="3" t="n">
        <v>100</v>
      </c>
      <c r="I2" s="3" t="n">
        <v>1</v>
      </c>
      <c r="J2" s="2">
        <f>H2*I2</f>
        <v/>
      </c>
      <c r="K2" s="3" t="n">
        <v>100</v>
      </c>
      <c r="L2" s="2">
        <f>J2-K2</f>
        <v/>
      </c>
      <c r="M2" s="2" t="inlineStr">
        <is>
          <t>1+</t>
        </is>
      </c>
      <c r="N2" s="3" t="n">
        <v>100</v>
      </c>
      <c r="O2" s="3" t="n">
        <v>0.95</v>
      </c>
      <c r="P2" s="2" t="inlineStr">
        <is>
          <t>可重复</t>
        </is>
      </c>
      <c r="Q2" s="2" t="inlineStr">
        <is>
          <t>最通用输出卡，作为输出预算锚点。</t>
        </is>
      </c>
    </row>
    <row r="3">
      <c r="A3" s="2" t="inlineStr">
        <is>
          <t>Upgrade_Damage_Rare</t>
        </is>
      </c>
      <c r="B3" s="2" t="inlineStr">
        <is>
          <t>Upgrade_Damage</t>
        </is>
      </c>
      <c r="C3" s="2" t="inlineStr">
        <is>
          <t>伤害强化-稀有</t>
        </is>
      </c>
      <c r="D3" s="2" t="inlineStr">
        <is>
          <t>输出</t>
        </is>
      </c>
      <c r="E3" s="2" t="inlineStr">
        <is>
          <t>Rare</t>
        </is>
      </c>
      <c r="F3" s="2" t="inlineStr">
        <is>
          <t>Damage</t>
        </is>
      </c>
      <c r="G3" s="3" t="n">
        <v>8</v>
      </c>
      <c r="H3" s="3" t="n">
        <v>160</v>
      </c>
      <c r="I3" s="3" t="n">
        <v>1</v>
      </c>
      <c r="J3" s="2">
        <f>H3*I3</f>
        <v/>
      </c>
      <c r="K3" s="3" t="n">
        <v>150</v>
      </c>
      <c r="L3" s="2">
        <f>J3-K3</f>
        <v/>
      </c>
      <c r="M3" s="2" t="inlineStr">
        <is>
          <t>1+</t>
        </is>
      </c>
      <c r="N3" s="3" t="n">
        <v>100</v>
      </c>
      <c r="O3" s="3" t="n">
        <v>0.95</v>
      </c>
      <c r="P3" s="2" t="inlineStr">
        <is>
          <t>可重复</t>
        </is>
      </c>
      <c r="Q3" s="2" t="inlineStr">
        <is>
          <t>最通用输出卡，作为输出预算锚点。</t>
        </is>
      </c>
    </row>
    <row r="4">
      <c r="A4" s="2" t="inlineStr">
        <is>
          <t>Upgrade_Damage_Epic</t>
        </is>
      </c>
      <c r="B4" s="2" t="inlineStr">
        <is>
          <t>Upgrade_Damage</t>
        </is>
      </c>
      <c r="C4" s="2" t="inlineStr">
        <is>
          <t>伤害强化-史诗</t>
        </is>
      </c>
      <c r="D4" s="2" t="inlineStr">
        <is>
          <t>输出</t>
        </is>
      </c>
      <c r="E4" s="2" t="inlineStr">
        <is>
          <t>Epic</t>
        </is>
      </c>
      <c r="F4" s="2" t="inlineStr">
        <is>
          <t>Damage</t>
        </is>
      </c>
      <c r="G4" s="3" t="n">
        <v>11</v>
      </c>
      <c r="H4" s="3" t="n">
        <v>220</v>
      </c>
      <c r="I4" s="3" t="n">
        <v>1</v>
      </c>
      <c r="J4" s="2">
        <f>H4*I4</f>
        <v/>
      </c>
      <c r="K4" s="3" t="n">
        <v>225</v>
      </c>
      <c r="L4" s="2">
        <f>J4-K4</f>
        <v/>
      </c>
      <c r="M4" s="2" t="inlineStr">
        <is>
          <t>1+</t>
        </is>
      </c>
      <c r="N4" s="3" t="n">
        <v>100</v>
      </c>
      <c r="O4" s="3" t="n">
        <v>0.95</v>
      </c>
      <c r="P4" s="2" t="inlineStr">
        <is>
          <t>可重复</t>
        </is>
      </c>
      <c r="Q4" s="2" t="inlineStr">
        <is>
          <t>最通用输出卡，作为输出预算锚点。</t>
        </is>
      </c>
    </row>
    <row r="5">
      <c r="A5" s="2" t="inlineStr">
        <is>
          <t>Upgrade_Damage_Legendary</t>
        </is>
      </c>
      <c r="B5" s="2" t="inlineStr">
        <is>
          <t>Upgrade_Damage</t>
        </is>
      </c>
      <c r="C5" s="2" t="inlineStr">
        <is>
          <t>伤害强化-传说</t>
        </is>
      </c>
      <c r="D5" s="2" t="inlineStr">
        <is>
          <t>输出</t>
        </is>
      </c>
      <c r="E5" s="2" t="inlineStr">
        <is>
          <t>Legendary</t>
        </is>
      </c>
      <c r="F5" s="2" t="inlineStr">
        <is>
          <t>Damage</t>
        </is>
      </c>
      <c r="G5" s="3" t="n">
        <v>17</v>
      </c>
      <c r="H5" s="3" t="n">
        <v>340</v>
      </c>
      <c r="I5" s="3" t="n">
        <v>1</v>
      </c>
      <c r="J5" s="2">
        <f>H5*I5</f>
        <v/>
      </c>
      <c r="K5" s="3" t="n">
        <v>350</v>
      </c>
      <c r="L5" s="2">
        <f>J5-K5</f>
        <v/>
      </c>
      <c r="M5" s="2" t="inlineStr">
        <is>
          <t>1+</t>
        </is>
      </c>
      <c r="N5" s="3" t="n">
        <v>100</v>
      </c>
      <c r="O5" s="3" t="n">
        <v>0.95</v>
      </c>
      <c r="P5" s="2" t="inlineStr">
        <is>
          <t>可重复</t>
        </is>
      </c>
      <c r="Q5" s="2" t="inlineStr">
        <is>
          <t>最通用输出卡，作为输出预算锚点。</t>
        </is>
      </c>
    </row>
    <row r="6">
      <c r="A6" s="2" t="inlineStr">
        <is>
          <t>Upgrade_AttackSpeed_Common</t>
        </is>
      </c>
      <c r="B6" s="2" t="inlineStr">
        <is>
          <t>Upgrade_AttackSpeed</t>
        </is>
      </c>
      <c r="C6" s="2" t="inlineStr">
        <is>
          <t>攻速强化-普通</t>
        </is>
      </c>
      <c r="D6" s="2" t="inlineStr">
        <is>
          <t>输出</t>
        </is>
      </c>
      <c r="E6" s="2" t="inlineStr">
        <is>
          <t>Common</t>
        </is>
      </c>
      <c r="F6" s="2" t="inlineStr">
        <is>
          <t>AttackSpeed</t>
        </is>
      </c>
      <c r="G6" s="3" t="n">
        <v>5</v>
      </c>
      <c r="H6" s="3" t="n">
        <v>100</v>
      </c>
      <c r="I6" s="3" t="n">
        <v>1</v>
      </c>
      <c r="J6" s="2">
        <f>H6*I6</f>
        <v/>
      </c>
      <c r="K6" s="3" t="n">
        <v>100</v>
      </c>
      <c r="L6" s="2">
        <f>J6-K6</f>
        <v/>
      </c>
      <c r="M6" s="2" t="inlineStr">
        <is>
          <t>1+</t>
        </is>
      </c>
      <c r="N6" s="3" t="n">
        <v>100</v>
      </c>
      <c r="O6" s="3" t="n">
        <v>0.95</v>
      </c>
      <c r="P6" s="2" t="inlineStr">
        <is>
          <t>可重复</t>
        </is>
      </c>
      <c r="Q6" s="2" t="inlineStr">
        <is>
          <t>高频触发武器会放大该属性，依赖武器收益率限制。</t>
        </is>
      </c>
    </row>
    <row r="7">
      <c r="A7" s="2" t="inlineStr">
        <is>
          <t>Upgrade_AttackSpeed_Rare</t>
        </is>
      </c>
      <c r="B7" s="2" t="inlineStr">
        <is>
          <t>Upgrade_AttackSpeed</t>
        </is>
      </c>
      <c r="C7" s="2" t="inlineStr">
        <is>
          <t>攻速强化-稀有</t>
        </is>
      </c>
      <c r="D7" s="2" t="inlineStr">
        <is>
          <t>输出</t>
        </is>
      </c>
      <c r="E7" s="2" t="inlineStr">
        <is>
          <t>Rare</t>
        </is>
      </c>
      <c r="F7" s="2" t="inlineStr">
        <is>
          <t>AttackSpeed</t>
        </is>
      </c>
      <c r="G7" s="3" t="n">
        <v>8</v>
      </c>
      <c r="H7" s="3" t="n">
        <v>160</v>
      </c>
      <c r="I7" s="3" t="n">
        <v>1</v>
      </c>
      <c r="J7" s="2">
        <f>H7*I7</f>
        <v/>
      </c>
      <c r="K7" s="3" t="n">
        <v>150</v>
      </c>
      <c r="L7" s="2">
        <f>J7-K7</f>
        <v/>
      </c>
      <c r="M7" s="2" t="inlineStr">
        <is>
          <t>1+</t>
        </is>
      </c>
      <c r="N7" s="3" t="n">
        <v>100</v>
      </c>
      <c r="O7" s="3" t="n">
        <v>0.95</v>
      </c>
      <c r="P7" s="2" t="inlineStr">
        <is>
          <t>可重复</t>
        </is>
      </c>
      <c r="Q7" s="2" t="inlineStr">
        <is>
          <t>高频触发武器会放大该属性，依赖武器收益率限制。</t>
        </is>
      </c>
    </row>
    <row r="8">
      <c r="A8" s="2" t="inlineStr">
        <is>
          <t>Upgrade_AttackSpeed_Epic</t>
        </is>
      </c>
      <c r="B8" s="2" t="inlineStr">
        <is>
          <t>Upgrade_AttackSpeed</t>
        </is>
      </c>
      <c r="C8" s="2" t="inlineStr">
        <is>
          <t>攻速强化-史诗</t>
        </is>
      </c>
      <c r="D8" s="2" t="inlineStr">
        <is>
          <t>输出</t>
        </is>
      </c>
      <c r="E8" s="2" t="inlineStr">
        <is>
          <t>Epic</t>
        </is>
      </c>
      <c r="F8" s="2" t="inlineStr">
        <is>
          <t>AttackSpeed</t>
        </is>
      </c>
      <c r="G8" s="3" t="n">
        <v>11</v>
      </c>
      <c r="H8" s="3" t="n">
        <v>220</v>
      </c>
      <c r="I8" s="3" t="n">
        <v>1</v>
      </c>
      <c r="J8" s="2">
        <f>H8*I8</f>
        <v/>
      </c>
      <c r="K8" s="3" t="n">
        <v>225</v>
      </c>
      <c r="L8" s="2">
        <f>J8-K8</f>
        <v/>
      </c>
      <c r="M8" s="2" t="inlineStr">
        <is>
          <t>1+</t>
        </is>
      </c>
      <c r="N8" s="3" t="n">
        <v>100</v>
      </c>
      <c r="O8" s="3" t="n">
        <v>0.95</v>
      </c>
      <c r="P8" s="2" t="inlineStr">
        <is>
          <t>可重复</t>
        </is>
      </c>
      <c r="Q8" s="2" t="inlineStr">
        <is>
          <t>高频触发武器会放大该属性，依赖武器收益率限制。</t>
        </is>
      </c>
    </row>
    <row r="9">
      <c r="A9" s="2" t="inlineStr">
        <is>
          <t>Upgrade_AttackSpeed_Legendary</t>
        </is>
      </c>
      <c r="B9" s="2" t="inlineStr">
        <is>
          <t>Upgrade_AttackSpeed</t>
        </is>
      </c>
      <c r="C9" s="2" t="inlineStr">
        <is>
          <t>攻速强化-传说</t>
        </is>
      </c>
      <c r="D9" s="2" t="inlineStr">
        <is>
          <t>输出</t>
        </is>
      </c>
      <c r="E9" s="2" t="inlineStr">
        <is>
          <t>Legendary</t>
        </is>
      </c>
      <c r="F9" s="2" t="inlineStr">
        <is>
          <t>AttackSpeed</t>
        </is>
      </c>
      <c r="G9" s="3" t="n">
        <v>17</v>
      </c>
      <c r="H9" s="3" t="n">
        <v>340</v>
      </c>
      <c r="I9" s="3" t="n">
        <v>1</v>
      </c>
      <c r="J9" s="2">
        <f>H9*I9</f>
        <v/>
      </c>
      <c r="K9" s="3" t="n">
        <v>350</v>
      </c>
      <c r="L9" s="2">
        <f>J9-K9</f>
        <v/>
      </c>
      <c r="M9" s="2" t="inlineStr">
        <is>
          <t>1+</t>
        </is>
      </c>
      <c r="N9" s="3" t="n">
        <v>100</v>
      </c>
      <c r="O9" s="3" t="n">
        <v>0.95</v>
      </c>
      <c r="P9" s="2" t="inlineStr">
        <is>
          <t>可重复</t>
        </is>
      </c>
      <c r="Q9" s="2" t="inlineStr">
        <is>
          <t>高频触发武器会放大该属性，依赖武器收益率限制。</t>
        </is>
      </c>
    </row>
    <row r="10">
      <c r="A10" s="2" t="inlineStr">
        <is>
          <t>Upgrade_MeleeAttack_Common</t>
        </is>
      </c>
      <c r="B10" s="2" t="inlineStr">
        <is>
          <t>Upgrade_MeleeAttack</t>
        </is>
      </c>
      <c r="C10" s="2" t="inlineStr">
        <is>
          <t>近战训练-普通</t>
        </is>
      </c>
      <c r="D10" s="2" t="inlineStr">
        <is>
          <t>输出</t>
        </is>
      </c>
      <c r="E10" s="2" t="inlineStr">
        <is>
          <t>Common</t>
        </is>
      </c>
      <c r="F10" s="2" t="inlineStr">
        <is>
          <t>MeleeAttack</t>
        </is>
      </c>
      <c r="G10" s="3" t="n">
        <v>5</v>
      </c>
      <c r="H10" s="3" t="n">
        <v>100</v>
      </c>
      <c r="I10" s="3" t="n">
        <v>1</v>
      </c>
      <c r="J10" s="2">
        <f>H10*I10</f>
        <v/>
      </c>
      <c r="K10" s="3" t="n">
        <v>100</v>
      </c>
      <c r="L10" s="2">
        <f>J10-K10</f>
        <v/>
      </c>
      <c r="M10" s="2" t="inlineStr">
        <is>
          <t>1+</t>
        </is>
      </c>
      <c r="N10" s="3" t="n">
        <v>85</v>
      </c>
      <c r="O10" s="3" t="n">
        <v>0.95</v>
      </c>
      <c r="P10" s="2" t="inlineStr">
        <is>
          <t>可重复</t>
        </is>
      </c>
      <c r="Q10" s="2" t="inlineStr">
        <is>
          <t>四类攻击卡权重略低于通用输出卡。</t>
        </is>
      </c>
    </row>
    <row r="11">
      <c r="A11" s="2" t="inlineStr">
        <is>
          <t>Upgrade_MeleeAttack_Rare</t>
        </is>
      </c>
      <c r="B11" s="2" t="inlineStr">
        <is>
          <t>Upgrade_MeleeAttack</t>
        </is>
      </c>
      <c r="C11" s="2" t="inlineStr">
        <is>
          <t>近战训练-稀有</t>
        </is>
      </c>
      <c r="D11" s="2" t="inlineStr">
        <is>
          <t>输出</t>
        </is>
      </c>
      <c r="E11" s="2" t="inlineStr">
        <is>
          <t>Rare</t>
        </is>
      </c>
      <c r="F11" s="2" t="inlineStr">
        <is>
          <t>MeleeAttack</t>
        </is>
      </c>
      <c r="G11" s="3" t="n">
        <v>8</v>
      </c>
      <c r="H11" s="3" t="n">
        <v>160</v>
      </c>
      <c r="I11" s="3" t="n">
        <v>1</v>
      </c>
      <c r="J11" s="2">
        <f>H11*I11</f>
        <v/>
      </c>
      <c r="K11" s="3" t="n">
        <v>150</v>
      </c>
      <c r="L11" s="2">
        <f>J11-K11</f>
        <v/>
      </c>
      <c r="M11" s="2" t="inlineStr">
        <is>
          <t>1+</t>
        </is>
      </c>
      <c r="N11" s="3" t="n">
        <v>85</v>
      </c>
      <c r="O11" s="3" t="n">
        <v>0.95</v>
      </c>
      <c r="P11" s="2" t="inlineStr">
        <is>
          <t>可重复</t>
        </is>
      </c>
      <c r="Q11" s="2" t="inlineStr">
        <is>
          <t>四类攻击卡权重略低于通用输出卡。</t>
        </is>
      </c>
    </row>
    <row r="12">
      <c r="A12" s="2" t="inlineStr">
        <is>
          <t>Upgrade_MeleeAttack_Epic</t>
        </is>
      </c>
      <c r="B12" s="2" t="inlineStr">
        <is>
          <t>Upgrade_MeleeAttack</t>
        </is>
      </c>
      <c r="C12" s="2" t="inlineStr">
        <is>
          <t>近战训练-史诗</t>
        </is>
      </c>
      <c r="D12" s="2" t="inlineStr">
        <is>
          <t>输出</t>
        </is>
      </c>
      <c r="E12" s="2" t="inlineStr">
        <is>
          <t>Epic</t>
        </is>
      </c>
      <c r="F12" s="2" t="inlineStr">
        <is>
          <t>MeleeAttack</t>
        </is>
      </c>
      <c r="G12" s="3" t="n">
        <v>11</v>
      </c>
      <c r="H12" s="3" t="n">
        <v>220</v>
      </c>
      <c r="I12" s="3" t="n">
        <v>1</v>
      </c>
      <c r="J12" s="2">
        <f>H12*I12</f>
        <v/>
      </c>
      <c r="K12" s="3" t="n">
        <v>225</v>
      </c>
      <c r="L12" s="2">
        <f>J12-K12</f>
        <v/>
      </c>
      <c r="M12" s="2" t="inlineStr">
        <is>
          <t>1+</t>
        </is>
      </c>
      <c r="N12" s="3" t="n">
        <v>85</v>
      </c>
      <c r="O12" s="3" t="n">
        <v>0.95</v>
      </c>
      <c r="P12" s="2" t="inlineStr">
        <is>
          <t>可重复</t>
        </is>
      </c>
      <c r="Q12" s="2" t="inlineStr">
        <is>
          <t>四类攻击卡权重略低于通用输出卡。</t>
        </is>
      </c>
    </row>
    <row r="13">
      <c r="A13" s="2" t="inlineStr">
        <is>
          <t>Upgrade_MeleeAttack_Legendary</t>
        </is>
      </c>
      <c r="B13" s="2" t="inlineStr">
        <is>
          <t>Upgrade_MeleeAttack</t>
        </is>
      </c>
      <c r="C13" s="2" t="inlineStr">
        <is>
          <t>近战训练-传说</t>
        </is>
      </c>
      <c r="D13" s="2" t="inlineStr">
        <is>
          <t>输出</t>
        </is>
      </c>
      <c r="E13" s="2" t="inlineStr">
        <is>
          <t>Legendary</t>
        </is>
      </c>
      <c r="F13" s="2" t="inlineStr">
        <is>
          <t>MeleeAttack</t>
        </is>
      </c>
      <c r="G13" s="3" t="n">
        <v>17</v>
      </c>
      <c r="H13" s="3" t="n">
        <v>340</v>
      </c>
      <c r="I13" s="3" t="n">
        <v>1</v>
      </c>
      <c r="J13" s="2">
        <f>H13*I13</f>
        <v/>
      </c>
      <c r="K13" s="3" t="n">
        <v>350</v>
      </c>
      <c r="L13" s="2">
        <f>J13-K13</f>
        <v/>
      </c>
      <c r="M13" s="2" t="inlineStr">
        <is>
          <t>1+</t>
        </is>
      </c>
      <c r="N13" s="3" t="n">
        <v>85</v>
      </c>
      <c r="O13" s="3" t="n">
        <v>0.95</v>
      </c>
      <c r="P13" s="2" t="inlineStr">
        <is>
          <t>可重复</t>
        </is>
      </c>
      <c r="Q13" s="2" t="inlineStr">
        <is>
          <t>四类攻击卡权重略低于通用输出卡。</t>
        </is>
      </c>
    </row>
    <row r="14">
      <c r="A14" s="2" t="inlineStr">
        <is>
          <t>Upgrade_RangedAttack_Common</t>
        </is>
      </c>
      <c r="B14" s="2" t="inlineStr">
        <is>
          <t>Upgrade_RangedAttack</t>
        </is>
      </c>
      <c r="C14" s="2" t="inlineStr">
        <is>
          <t>远程训练-普通</t>
        </is>
      </c>
      <c r="D14" s="2" t="inlineStr">
        <is>
          <t>输出</t>
        </is>
      </c>
      <c r="E14" s="2" t="inlineStr">
        <is>
          <t>Common</t>
        </is>
      </c>
      <c r="F14" s="2" t="inlineStr">
        <is>
          <t>RangedAttack</t>
        </is>
      </c>
      <c r="G14" s="3" t="n">
        <v>5</v>
      </c>
      <c r="H14" s="3" t="n">
        <v>100</v>
      </c>
      <c r="I14" s="3" t="n">
        <v>1</v>
      </c>
      <c r="J14" s="2">
        <f>H14*I14</f>
        <v/>
      </c>
      <c r="K14" s="3" t="n">
        <v>100</v>
      </c>
      <c r="L14" s="2">
        <f>J14-K14</f>
        <v/>
      </c>
      <c r="M14" s="2" t="inlineStr">
        <is>
          <t>1+</t>
        </is>
      </c>
      <c r="N14" s="3" t="n">
        <v>85</v>
      </c>
      <c r="O14" s="3" t="n">
        <v>0.95</v>
      </c>
      <c r="P14" s="2" t="inlineStr">
        <is>
          <t>可重复</t>
        </is>
      </c>
      <c r="Q14" s="2" t="inlineStr">
        <is>
          <t>四类攻击卡权重略低于通用输出卡。</t>
        </is>
      </c>
    </row>
    <row r="15">
      <c r="A15" s="2" t="inlineStr">
        <is>
          <t>Upgrade_RangedAttack_Rare</t>
        </is>
      </c>
      <c r="B15" s="2" t="inlineStr">
        <is>
          <t>Upgrade_RangedAttack</t>
        </is>
      </c>
      <c r="C15" s="2" t="inlineStr">
        <is>
          <t>远程训练-稀有</t>
        </is>
      </c>
      <c r="D15" s="2" t="inlineStr">
        <is>
          <t>输出</t>
        </is>
      </c>
      <c r="E15" s="2" t="inlineStr">
        <is>
          <t>Rare</t>
        </is>
      </c>
      <c r="F15" s="2" t="inlineStr">
        <is>
          <t>RangedAttack</t>
        </is>
      </c>
      <c r="G15" s="3" t="n">
        <v>8</v>
      </c>
      <c r="H15" s="3" t="n">
        <v>160</v>
      </c>
      <c r="I15" s="3" t="n">
        <v>1</v>
      </c>
      <c r="J15" s="2">
        <f>H15*I15</f>
        <v/>
      </c>
      <c r="K15" s="3" t="n">
        <v>150</v>
      </c>
      <c r="L15" s="2">
        <f>J15-K15</f>
        <v/>
      </c>
      <c r="M15" s="2" t="inlineStr">
        <is>
          <t>1+</t>
        </is>
      </c>
      <c r="N15" s="3" t="n">
        <v>85</v>
      </c>
      <c r="O15" s="3" t="n">
        <v>0.95</v>
      </c>
      <c r="P15" s="2" t="inlineStr">
        <is>
          <t>可重复</t>
        </is>
      </c>
      <c r="Q15" s="2" t="inlineStr">
        <is>
          <t>四类攻击卡权重略低于通用输出卡。</t>
        </is>
      </c>
    </row>
    <row r="16">
      <c r="A16" s="2" t="inlineStr">
        <is>
          <t>Upgrade_RangedAttack_Epic</t>
        </is>
      </c>
      <c r="B16" s="2" t="inlineStr">
        <is>
          <t>Upgrade_RangedAttack</t>
        </is>
      </c>
      <c r="C16" s="2" t="inlineStr">
        <is>
          <t>远程训练-史诗</t>
        </is>
      </c>
      <c r="D16" s="2" t="inlineStr">
        <is>
          <t>输出</t>
        </is>
      </c>
      <c r="E16" s="2" t="inlineStr">
        <is>
          <t>Epic</t>
        </is>
      </c>
      <c r="F16" s="2" t="inlineStr">
        <is>
          <t>RangedAttack</t>
        </is>
      </c>
      <c r="G16" s="3" t="n">
        <v>11</v>
      </c>
      <c r="H16" s="3" t="n">
        <v>220</v>
      </c>
      <c r="I16" s="3" t="n">
        <v>1</v>
      </c>
      <c r="J16" s="2">
        <f>H16*I16</f>
        <v/>
      </c>
      <c r="K16" s="3" t="n">
        <v>225</v>
      </c>
      <c r="L16" s="2">
        <f>J16-K16</f>
        <v/>
      </c>
      <c r="M16" s="2" t="inlineStr">
        <is>
          <t>1+</t>
        </is>
      </c>
      <c r="N16" s="3" t="n">
        <v>85</v>
      </c>
      <c r="O16" s="3" t="n">
        <v>0.95</v>
      </c>
      <c r="P16" s="2" t="inlineStr">
        <is>
          <t>可重复</t>
        </is>
      </c>
      <c r="Q16" s="2" t="inlineStr">
        <is>
          <t>四类攻击卡权重略低于通用输出卡。</t>
        </is>
      </c>
    </row>
    <row r="17">
      <c r="A17" s="2" t="inlineStr">
        <is>
          <t>Upgrade_RangedAttack_Legendary</t>
        </is>
      </c>
      <c r="B17" s="2" t="inlineStr">
        <is>
          <t>Upgrade_RangedAttack</t>
        </is>
      </c>
      <c r="C17" s="2" t="inlineStr">
        <is>
          <t>远程训练-传说</t>
        </is>
      </c>
      <c r="D17" s="2" t="inlineStr">
        <is>
          <t>输出</t>
        </is>
      </c>
      <c r="E17" s="2" t="inlineStr">
        <is>
          <t>Legendary</t>
        </is>
      </c>
      <c r="F17" s="2" t="inlineStr">
        <is>
          <t>RangedAttack</t>
        </is>
      </c>
      <c r="G17" s="3" t="n">
        <v>17</v>
      </c>
      <c r="H17" s="3" t="n">
        <v>340</v>
      </c>
      <c r="I17" s="3" t="n">
        <v>1</v>
      </c>
      <c r="J17" s="2">
        <f>H17*I17</f>
        <v/>
      </c>
      <c r="K17" s="3" t="n">
        <v>350</v>
      </c>
      <c r="L17" s="2">
        <f>J17-K17</f>
        <v/>
      </c>
      <c r="M17" s="2" t="inlineStr">
        <is>
          <t>1+</t>
        </is>
      </c>
      <c r="N17" s="3" t="n">
        <v>85</v>
      </c>
      <c r="O17" s="3" t="n">
        <v>0.95</v>
      </c>
      <c r="P17" s="2" t="inlineStr">
        <is>
          <t>可重复</t>
        </is>
      </c>
      <c r="Q17" s="2" t="inlineStr">
        <is>
          <t>四类攻击卡权重略低于通用输出卡。</t>
        </is>
      </c>
    </row>
    <row r="18">
      <c r="A18" s="2" t="inlineStr">
        <is>
          <t>Upgrade_MagicAttack_Common</t>
        </is>
      </c>
      <c r="B18" s="2" t="inlineStr">
        <is>
          <t>Upgrade_MagicAttack</t>
        </is>
      </c>
      <c r="C18" s="2" t="inlineStr">
        <is>
          <t>魔法训练-普通</t>
        </is>
      </c>
      <c r="D18" s="2" t="inlineStr">
        <is>
          <t>输出</t>
        </is>
      </c>
      <c r="E18" s="2" t="inlineStr">
        <is>
          <t>Common</t>
        </is>
      </c>
      <c r="F18" s="2" t="inlineStr">
        <is>
          <t>MagicAttack</t>
        </is>
      </c>
      <c r="G18" s="3" t="n">
        <v>5</v>
      </c>
      <c r="H18" s="3" t="n">
        <v>100</v>
      </c>
      <c r="I18" s="3" t="n">
        <v>1</v>
      </c>
      <c r="J18" s="2">
        <f>H18*I18</f>
        <v/>
      </c>
      <c r="K18" s="3" t="n">
        <v>100</v>
      </c>
      <c r="L18" s="2">
        <f>J18-K18</f>
        <v/>
      </c>
      <c r="M18" s="2" t="inlineStr">
        <is>
          <t>1+</t>
        </is>
      </c>
      <c r="N18" s="3" t="n">
        <v>85</v>
      </c>
      <c r="O18" s="3" t="n">
        <v>0.95</v>
      </c>
      <c r="P18" s="2" t="inlineStr">
        <is>
          <t>可重复</t>
        </is>
      </c>
      <c r="Q18" s="2" t="inlineStr">
        <is>
          <t>四类攻击卡权重略低于通用输出卡。</t>
        </is>
      </c>
    </row>
    <row r="19">
      <c r="A19" s="2" t="inlineStr">
        <is>
          <t>Upgrade_MagicAttack_Rare</t>
        </is>
      </c>
      <c r="B19" s="2" t="inlineStr">
        <is>
          <t>Upgrade_MagicAttack</t>
        </is>
      </c>
      <c r="C19" s="2" t="inlineStr">
        <is>
          <t>魔法训练-稀有</t>
        </is>
      </c>
      <c r="D19" s="2" t="inlineStr">
        <is>
          <t>输出</t>
        </is>
      </c>
      <c r="E19" s="2" t="inlineStr">
        <is>
          <t>Rare</t>
        </is>
      </c>
      <c r="F19" s="2" t="inlineStr">
        <is>
          <t>MagicAttack</t>
        </is>
      </c>
      <c r="G19" s="3" t="n">
        <v>8</v>
      </c>
      <c r="H19" s="3" t="n">
        <v>160</v>
      </c>
      <c r="I19" s="3" t="n">
        <v>1</v>
      </c>
      <c r="J19" s="2">
        <f>H19*I19</f>
        <v/>
      </c>
      <c r="K19" s="3" t="n">
        <v>150</v>
      </c>
      <c r="L19" s="2">
        <f>J19-K19</f>
        <v/>
      </c>
      <c r="M19" s="2" t="inlineStr">
        <is>
          <t>1+</t>
        </is>
      </c>
      <c r="N19" s="3" t="n">
        <v>85</v>
      </c>
      <c r="O19" s="3" t="n">
        <v>0.95</v>
      </c>
      <c r="P19" s="2" t="inlineStr">
        <is>
          <t>可重复</t>
        </is>
      </c>
      <c r="Q19" s="2" t="inlineStr">
        <is>
          <t>四类攻击卡权重略低于通用输出卡。</t>
        </is>
      </c>
    </row>
    <row r="20">
      <c r="A20" s="2" t="inlineStr">
        <is>
          <t>Upgrade_MagicAttack_Epic</t>
        </is>
      </c>
      <c r="B20" s="2" t="inlineStr">
        <is>
          <t>Upgrade_MagicAttack</t>
        </is>
      </c>
      <c r="C20" s="2" t="inlineStr">
        <is>
          <t>魔法训练-史诗</t>
        </is>
      </c>
      <c r="D20" s="2" t="inlineStr">
        <is>
          <t>输出</t>
        </is>
      </c>
      <c r="E20" s="2" t="inlineStr">
        <is>
          <t>Epic</t>
        </is>
      </c>
      <c r="F20" s="2" t="inlineStr">
        <is>
          <t>MagicAttack</t>
        </is>
      </c>
      <c r="G20" s="3" t="n">
        <v>11</v>
      </c>
      <c r="H20" s="3" t="n">
        <v>220</v>
      </c>
      <c r="I20" s="3" t="n">
        <v>1</v>
      </c>
      <c r="J20" s="2">
        <f>H20*I20</f>
        <v/>
      </c>
      <c r="K20" s="3" t="n">
        <v>225</v>
      </c>
      <c r="L20" s="2">
        <f>J20-K20</f>
        <v/>
      </c>
      <c r="M20" s="2" t="inlineStr">
        <is>
          <t>1+</t>
        </is>
      </c>
      <c r="N20" s="3" t="n">
        <v>85</v>
      </c>
      <c r="O20" s="3" t="n">
        <v>0.95</v>
      </c>
      <c r="P20" s="2" t="inlineStr">
        <is>
          <t>可重复</t>
        </is>
      </c>
      <c r="Q20" s="2" t="inlineStr">
        <is>
          <t>四类攻击卡权重略低于通用输出卡。</t>
        </is>
      </c>
    </row>
    <row r="21">
      <c r="A21" s="2" t="inlineStr">
        <is>
          <t>Upgrade_MagicAttack_Legendary</t>
        </is>
      </c>
      <c r="B21" s="2" t="inlineStr">
        <is>
          <t>Upgrade_MagicAttack</t>
        </is>
      </c>
      <c r="C21" s="2" t="inlineStr">
        <is>
          <t>魔法训练-传说</t>
        </is>
      </c>
      <c r="D21" s="2" t="inlineStr">
        <is>
          <t>输出</t>
        </is>
      </c>
      <c r="E21" s="2" t="inlineStr">
        <is>
          <t>Legendary</t>
        </is>
      </c>
      <c r="F21" s="2" t="inlineStr">
        <is>
          <t>MagicAttack</t>
        </is>
      </c>
      <c r="G21" s="3" t="n">
        <v>17</v>
      </c>
      <c r="H21" s="3" t="n">
        <v>340</v>
      </c>
      <c r="I21" s="3" t="n">
        <v>1</v>
      </c>
      <c r="J21" s="2">
        <f>H21*I21</f>
        <v/>
      </c>
      <c r="K21" s="3" t="n">
        <v>350</v>
      </c>
      <c r="L21" s="2">
        <f>J21-K21</f>
        <v/>
      </c>
      <c r="M21" s="2" t="inlineStr">
        <is>
          <t>1+</t>
        </is>
      </c>
      <c r="N21" s="3" t="n">
        <v>85</v>
      </c>
      <c r="O21" s="3" t="n">
        <v>0.95</v>
      </c>
      <c r="P21" s="2" t="inlineStr">
        <is>
          <t>可重复</t>
        </is>
      </c>
      <c r="Q21" s="2" t="inlineStr">
        <is>
          <t>四类攻击卡权重略低于通用输出卡。</t>
        </is>
      </c>
    </row>
    <row r="22">
      <c r="A22" s="2" t="inlineStr">
        <is>
          <t>Upgrade_SummonAttack_Common</t>
        </is>
      </c>
      <c r="B22" s="2" t="inlineStr">
        <is>
          <t>Upgrade_SummonAttack</t>
        </is>
      </c>
      <c r="C22" s="2" t="inlineStr">
        <is>
          <t>召唤训练-普通</t>
        </is>
      </c>
      <c r="D22" s="2" t="inlineStr">
        <is>
          <t>输出</t>
        </is>
      </c>
      <c r="E22" s="2" t="inlineStr">
        <is>
          <t>Common</t>
        </is>
      </c>
      <c r="F22" s="2" t="inlineStr">
        <is>
          <t>SummonAttack</t>
        </is>
      </c>
      <c r="G22" s="3" t="n">
        <v>5</v>
      </c>
      <c r="H22" s="3" t="n">
        <v>100</v>
      </c>
      <c r="I22" s="3" t="n">
        <v>1</v>
      </c>
      <c r="J22" s="2">
        <f>H22*I22</f>
        <v/>
      </c>
      <c r="K22" s="3" t="n">
        <v>100</v>
      </c>
      <c r="L22" s="2">
        <f>J22-K22</f>
        <v/>
      </c>
      <c r="M22" s="2" t="inlineStr">
        <is>
          <t>1+</t>
        </is>
      </c>
      <c r="N22" s="3" t="n">
        <v>85</v>
      </c>
      <c r="O22" s="3" t="n">
        <v>0.95</v>
      </c>
      <c r="P22" s="2" t="inlineStr">
        <is>
          <t>可重复</t>
        </is>
      </c>
      <c r="Q22" s="2" t="inlineStr">
        <is>
          <t>四类攻击卡权重略低于通用输出卡。</t>
        </is>
      </c>
    </row>
    <row r="23">
      <c r="A23" s="2" t="inlineStr">
        <is>
          <t>Upgrade_SummonAttack_Rare</t>
        </is>
      </c>
      <c r="B23" s="2" t="inlineStr">
        <is>
          <t>Upgrade_SummonAttack</t>
        </is>
      </c>
      <c r="C23" s="2" t="inlineStr">
        <is>
          <t>召唤训练-稀有</t>
        </is>
      </c>
      <c r="D23" s="2" t="inlineStr">
        <is>
          <t>输出</t>
        </is>
      </c>
      <c r="E23" s="2" t="inlineStr">
        <is>
          <t>Rare</t>
        </is>
      </c>
      <c r="F23" s="2" t="inlineStr">
        <is>
          <t>SummonAttack</t>
        </is>
      </c>
      <c r="G23" s="3" t="n">
        <v>8</v>
      </c>
      <c r="H23" s="3" t="n">
        <v>160</v>
      </c>
      <c r="I23" s="3" t="n">
        <v>1</v>
      </c>
      <c r="J23" s="2">
        <f>H23*I23</f>
        <v/>
      </c>
      <c r="K23" s="3" t="n">
        <v>150</v>
      </c>
      <c r="L23" s="2">
        <f>J23-K23</f>
        <v/>
      </c>
      <c r="M23" s="2" t="inlineStr">
        <is>
          <t>1+</t>
        </is>
      </c>
      <c r="N23" s="3" t="n">
        <v>85</v>
      </c>
      <c r="O23" s="3" t="n">
        <v>0.95</v>
      </c>
      <c r="P23" s="2" t="inlineStr">
        <is>
          <t>可重复</t>
        </is>
      </c>
      <c r="Q23" s="2" t="inlineStr">
        <is>
          <t>四类攻击卡权重略低于通用输出卡。</t>
        </is>
      </c>
    </row>
    <row r="24">
      <c r="A24" s="2" t="inlineStr">
        <is>
          <t>Upgrade_SummonAttack_Epic</t>
        </is>
      </c>
      <c r="B24" s="2" t="inlineStr">
        <is>
          <t>Upgrade_SummonAttack</t>
        </is>
      </c>
      <c r="C24" s="2" t="inlineStr">
        <is>
          <t>召唤训练-史诗</t>
        </is>
      </c>
      <c r="D24" s="2" t="inlineStr">
        <is>
          <t>输出</t>
        </is>
      </c>
      <c r="E24" s="2" t="inlineStr">
        <is>
          <t>Epic</t>
        </is>
      </c>
      <c r="F24" s="2" t="inlineStr">
        <is>
          <t>SummonAttack</t>
        </is>
      </c>
      <c r="G24" s="3" t="n">
        <v>11</v>
      </c>
      <c r="H24" s="3" t="n">
        <v>220</v>
      </c>
      <c r="I24" s="3" t="n">
        <v>1</v>
      </c>
      <c r="J24" s="2">
        <f>H24*I24</f>
        <v/>
      </c>
      <c r="K24" s="3" t="n">
        <v>225</v>
      </c>
      <c r="L24" s="2">
        <f>J24-K24</f>
        <v/>
      </c>
      <c r="M24" s="2" t="inlineStr">
        <is>
          <t>1+</t>
        </is>
      </c>
      <c r="N24" s="3" t="n">
        <v>85</v>
      </c>
      <c r="O24" s="3" t="n">
        <v>0.95</v>
      </c>
      <c r="P24" s="2" t="inlineStr">
        <is>
          <t>可重复</t>
        </is>
      </c>
      <c r="Q24" s="2" t="inlineStr">
        <is>
          <t>四类攻击卡权重略低于通用输出卡。</t>
        </is>
      </c>
    </row>
    <row r="25">
      <c r="A25" s="2" t="inlineStr">
        <is>
          <t>Upgrade_SummonAttack_Legendary</t>
        </is>
      </c>
      <c r="B25" s="2" t="inlineStr">
        <is>
          <t>Upgrade_SummonAttack</t>
        </is>
      </c>
      <c r="C25" s="2" t="inlineStr">
        <is>
          <t>召唤训练-传说</t>
        </is>
      </c>
      <c r="D25" s="2" t="inlineStr">
        <is>
          <t>输出</t>
        </is>
      </c>
      <c r="E25" s="2" t="inlineStr">
        <is>
          <t>Legendary</t>
        </is>
      </c>
      <c r="F25" s="2" t="inlineStr">
        <is>
          <t>SummonAttack</t>
        </is>
      </c>
      <c r="G25" s="3" t="n">
        <v>17</v>
      </c>
      <c r="H25" s="3" t="n">
        <v>340</v>
      </c>
      <c r="I25" s="3" t="n">
        <v>1</v>
      </c>
      <c r="J25" s="2">
        <f>H25*I25</f>
        <v/>
      </c>
      <c r="K25" s="3" t="n">
        <v>350</v>
      </c>
      <c r="L25" s="2">
        <f>J25-K25</f>
        <v/>
      </c>
      <c r="M25" s="2" t="inlineStr">
        <is>
          <t>1+</t>
        </is>
      </c>
      <c r="N25" s="3" t="n">
        <v>85</v>
      </c>
      <c r="O25" s="3" t="n">
        <v>0.95</v>
      </c>
      <c r="P25" s="2" t="inlineStr">
        <is>
          <t>可重复</t>
        </is>
      </c>
      <c r="Q25" s="2" t="inlineStr">
        <is>
          <t>四类攻击卡权重略低于通用输出卡。</t>
        </is>
      </c>
    </row>
    <row r="26">
      <c r="A26" s="2" t="inlineStr">
        <is>
          <t>Upgrade_CriticalChance_Common</t>
        </is>
      </c>
      <c r="B26" s="2" t="inlineStr">
        <is>
          <t>Upgrade_CriticalChance</t>
        </is>
      </c>
      <c r="C26" s="2" t="inlineStr">
        <is>
          <t>暴击率强化-普通</t>
        </is>
      </c>
      <c r="D26" s="2" t="inlineStr">
        <is>
          <t>输出</t>
        </is>
      </c>
      <c r="E26" s="2" t="inlineStr">
        <is>
          <t>Common</t>
        </is>
      </c>
      <c r="F26" s="2" t="inlineStr">
        <is>
          <t>CriticalChance</t>
        </is>
      </c>
      <c r="G26" s="3" t="n">
        <v>2</v>
      </c>
      <c r="H26" s="3" t="n">
        <v>100</v>
      </c>
      <c r="I26" s="3" t="n">
        <v>1</v>
      </c>
      <c r="J26" s="2">
        <f>H26*I26</f>
        <v/>
      </c>
      <c r="K26" s="3" t="n">
        <v>100</v>
      </c>
      <c r="L26" s="2">
        <f>J26-K26</f>
        <v/>
      </c>
      <c r="M26" s="2" t="inlineStr">
        <is>
          <t>2+</t>
        </is>
      </c>
      <c r="N26" s="3" t="n">
        <v>45</v>
      </c>
      <c r="O26" s="3" t="n">
        <v>0.85</v>
      </c>
      <c r="P26" s="2" t="inlineStr">
        <is>
          <t>可重复</t>
        </is>
      </c>
      <c r="Q26" s="2" t="inlineStr">
        <is>
          <t>暴击率是乘法入口，权重低于普通输出卡。</t>
        </is>
      </c>
    </row>
    <row r="27">
      <c r="A27" s="2" t="inlineStr">
        <is>
          <t>Upgrade_CriticalChance_Rare</t>
        </is>
      </c>
      <c r="B27" s="2" t="inlineStr">
        <is>
          <t>Upgrade_CriticalChance</t>
        </is>
      </c>
      <c r="C27" s="2" t="inlineStr">
        <is>
          <t>暴击率强化-稀有</t>
        </is>
      </c>
      <c r="D27" s="2" t="inlineStr">
        <is>
          <t>输出</t>
        </is>
      </c>
      <c r="E27" s="2" t="inlineStr">
        <is>
          <t>Rare</t>
        </is>
      </c>
      <c r="F27" s="2" t="inlineStr">
        <is>
          <t>CriticalChance</t>
        </is>
      </c>
      <c r="G27" s="3" t="n">
        <v>3</v>
      </c>
      <c r="H27" s="3" t="n">
        <v>150</v>
      </c>
      <c r="I27" s="3" t="n">
        <v>1</v>
      </c>
      <c r="J27" s="2">
        <f>H27*I27</f>
        <v/>
      </c>
      <c r="K27" s="3" t="n">
        <v>150</v>
      </c>
      <c r="L27" s="2">
        <f>J27-K27</f>
        <v/>
      </c>
      <c r="M27" s="2" t="inlineStr">
        <is>
          <t>2+</t>
        </is>
      </c>
      <c r="N27" s="3" t="n">
        <v>45</v>
      </c>
      <c r="O27" s="3" t="n">
        <v>0.85</v>
      </c>
      <c r="P27" s="2" t="inlineStr">
        <is>
          <t>可重复</t>
        </is>
      </c>
      <c r="Q27" s="2" t="inlineStr">
        <is>
          <t>暴击率是乘法入口，权重低于普通输出卡。</t>
        </is>
      </c>
    </row>
    <row r="28">
      <c r="A28" s="2" t="inlineStr">
        <is>
          <t>Upgrade_CriticalChance_Epic</t>
        </is>
      </c>
      <c r="B28" s="2" t="inlineStr">
        <is>
          <t>Upgrade_CriticalChance</t>
        </is>
      </c>
      <c r="C28" s="2" t="inlineStr">
        <is>
          <t>暴击率强化-史诗</t>
        </is>
      </c>
      <c r="D28" s="2" t="inlineStr">
        <is>
          <t>输出</t>
        </is>
      </c>
      <c r="E28" s="2" t="inlineStr">
        <is>
          <t>Epic</t>
        </is>
      </c>
      <c r="F28" s="2" t="inlineStr">
        <is>
          <t>CriticalChance</t>
        </is>
      </c>
      <c r="G28" s="3" t="n">
        <v>4.5</v>
      </c>
      <c r="H28" s="3" t="n">
        <v>225</v>
      </c>
      <c r="I28" s="3" t="n">
        <v>1</v>
      </c>
      <c r="J28" s="2">
        <f>H28*I28</f>
        <v/>
      </c>
      <c r="K28" s="3" t="n">
        <v>225</v>
      </c>
      <c r="L28" s="2">
        <f>J28-K28</f>
        <v/>
      </c>
      <c r="M28" s="2" t="inlineStr">
        <is>
          <t>2+</t>
        </is>
      </c>
      <c r="N28" s="3" t="n">
        <v>45</v>
      </c>
      <c r="O28" s="3" t="n">
        <v>0.85</v>
      </c>
      <c r="P28" s="2" t="inlineStr">
        <is>
          <t>可重复</t>
        </is>
      </c>
      <c r="Q28" s="2" t="inlineStr">
        <is>
          <t>暴击率是乘法入口，权重低于普通输出卡。</t>
        </is>
      </c>
    </row>
    <row r="29">
      <c r="A29" s="2" t="inlineStr">
        <is>
          <t>Upgrade_CriticalChance_Legendary</t>
        </is>
      </c>
      <c r="B29" s="2" t="inlineStr">
        <is>
          <t>Upgrade_CriticalChance</t>
        </is>
      </c>
      <c r="C29" s="2" t="inlineStr">
        <is>
          <t>暴击率强化-传说</t>
        </is>
      </c>
      <c r="D29" s="2" t="inlineStr">
        <is>
          <t>输出</t>
        </is>
      </c>
      <c r="E29" s="2" t="inlineStr">
        <is>
          <t>Legendary</t>
        </is>
      </c>
      <c r="F29" s="2" t="inlineStr">
        <is>
          <t>CriticalChance</t>
        </is>
      </c>
      <c r="G29" s="3" t="n">
        <v>7</v>
      </c>
      <c r="H29" s="3" t="n">
        <v>350</v>
      </c>
      <c r="I29" s="3" t="n">
        <v>1</v>
      </c>
      <c r="J29" s="2">
        <f>H29*I29</f>
        <v/>
      </c>
      <c r="K29" s="3" t="n">
        <v>350</v>
      </c>
      <c r="L29" s="2">
        <f>J29-K29</f>
        <v/>
      </c>
      <c r="M29" s="2" t="inlineStr">
        <is>
          <t>2+</t>
        </is>
      </c>
      <c r="N29" s="3" t="n">
        <v>45</v>
      </c>
      <c r="O29" s="3" t="n">
        <v>0.85</v>
      </c>
      <c r="P29" s="2" t="inlineStr">
        <is>
          <t>可重复</t>
        </is>
      </c>
      <c r="Q29" s="2" t="inlineStr">
        <is>
          <t>暴击率是乘法入口，权重低于普通输出卡。</t>
        </is>
      </c>
    </row>
    <row r="30">
      <c r="A30" s="2" t="inlineStr">
        <is>
          <t>Upgrade_CriticalPercent_Common</t>
        </is>
      </c>
      <c r="B30" s="2" t="inlineStr">
        <is>
          <t>Upgrade_CriticalPercent</t>
        </is>
      </c>
      <c r="C30" s="2" t="inlineStr">
        <is>
          <t>暴击伤害强化-普通</t>
        </is>
      </c>
      <c r="D30" s="2" t="inlineStr">
        <is>
          <t>输出</t>
        </is>
      </c>
      <c r="E30" s="2" t="inlineStr">
        <is>
          <t>Common</t>
        </is>
      </c>
      <c r="F30" s="2" t="inlineStr">
        <is>
          <t>CriticalPercent</t>
        </is>
      </c>
      <c r="G30" s="3" t="n">
        <v>8</v>
      </c>
      <c r="H30" s="3" t="n">
        <v>96</v>
      </c>
      <c r="I30" s="3" t="n">
        <v>1</v>
      </c>
      <c r="J30" s="2">
        <f>H30*I30</f>
        <v/>
      </c>
      <c r="K30" s="3" t="n">
        <v>100</v>
      </c>
      <c r="L30" s="2">
        <f>J30-K30</f>
        <v/>
      </c>
      <c r="M30" s="2" t="inlineStr">
        <is>
          <t>5+</t>
        </is>
      </c>
      <c r="N30" s="3" t="n">
        <v>40</v>
      </c>
      <c r="O30" s="3" t="n">
        <v>0.85</v>
      </c>
      <c r="P30" s="2" t="inlineStr">
        <is>
          <t>可重复</t>
        </is>
      </c>
      <c r="Q30" s="2" t="inlineStr">
        <is>
          <t>后期属性；低暴击率构筑拿到时实际收益偏低。</t>
        </is>
      </c>
    </row>
    <row r="31">
      <c r="A31" s="2" t="inlineStr">
        <is>
          <t>Upgrade_CriticalPercent_Rare</t>
        </is>
      </c>
      <c r="B31" s="2" t="inlineStr">
        <is>
          <t>Upgrade_CriticalPercent</t>
        </is>
      </c>
      <c r="C31" s="2" t="inlineStr">
        <is>
          <t>暴击伤害强化-稀有</t>
        </is>
      </c>
      <c r="D31" s="2" t="inlineStr">
        <is>
          <t>输出</t>
        </is>
      </c>
      <c r="E31" s="2" t="inlineStr">
        <is>
          <t>Rare</t>
        </is>
      </c>
      <c r="F31" s="2" t="inlineStr">
        <is>
          <t>CriticalPercent</t>
        </is>
      </c>
      <c r="G31" s="3" t="n">
        <v>13</v>
      </c>
      <c r="H31" s="3" t="n">
        <v>156</v>
      </c>
      <c r="I31" s="3" t="n">
        <v>1</v>
      </c>
      <c r="J31" s="2">
        <f>H31*I31</f>
        <v/>
      </c>
      <c r="K31" s="3" t="n">
        <v>150</v>
      </c>
      <c r="L31" s="2">
        <f>J31-K31</f>
        <v/>
      </c>
      <c r="M31" s="2" t="inlineStr">
        <is>
          <t>5+</t>
        </is>
      </c>
      <c r="N31" s="3" t="n">
        <v>40</v>
      </c>
      <c r="O31" s="3" t="n">
        <v>0.85</v>
      </c>
      <c r="P31" s="2" t="inlineStr">
        <is>
          <t>可重复</t>
        </is>
      </c>
      <c r="Q31" s="2" t="inlineStr">
        <is>
          <t>后期属性；低暴击率构筑拿到时实际收益偏低。</t>
        </is>
      </c>
    </row>
    <row r="32">
      <c r="A32" s="2" t="inlineStr">
        <is>
          <t>Upgrade_CriticalPercent_Epic</t>
        </is>
      </c>
      <c r="B32" s="2" t="inlineStr">
        <is>
          <t>Upgrade_CriticalPercent</t>
        </is>
      </c>
      <c r="C32" s="2" t="inlineStr">
        <is>
          <t>暴击伤害强化-史诗</t>
        </is>
      </c>
      <c r="D32" s="2" t="inlineStr">
        <is>
          <t>输出</t>
        </is>
      </c>
      <c r="E32" s="2" t="inlineStr">
        <is>
          <t>Epic</t>
        </is>
      </c>
      <c r="F32" s="2" t="inlineStr">
        <is>
          <t>CriticalPercent</t>
        </is>
      </c>
      <c r="G32" s="3" t="n">
        <v>19</v>
      </c>
      <c r="H32" s="3" t="n">
        <v>228</v>
      </c>
      <c r="I32" s="3" t="n">
        <v>1</v>
      </c>
      <c r="J32" s="2">
        <f>H32*I32</f>
        <v/>
      </c>
      <c r="K32" s="3" t="n">
        <v>225</v>
      </c>
      <c r="L32" s="2">
        <f>J32-K32</f>
        <v/>
      </c>
      <c r="M32" s="2" t="inlineStr">
        <is>
          <t>5+</t>
        </is>
      </c>
      <c r="N32" s="3" t="n">
        <v>40</v>
      </c>
      <c r="O32" s="3" t="n">
        <v>0.85</v>
      </c>
      <c r="P32" s="2" t="inlineStr">
        <is>
          <t>可重复</t>
        </is>
      </c>
      <c r="Q32" s="2" t="inlineStr">
        <is>
          <t>后期属性；低暴击率构筑拿到时实际收益偏低。</t>
        </is>
      </c>
    </row>
    <row r="33">
      <c r="A33" s="2" t="inlineStr">
        <is>
          <t>Upgrade_CriticalPercent_Legendary</t>
        </is>
      </c>
      <c r="B33" s="2" t="inlineStr">
        <is>
          <t>Upgrade_CriticalPercent</t>
        </is>
      </c>
      <c r="C33" s="2" t="inlineStr">
        <is>
          <t>暴击伤害强化-传说</t>
        </is>
      </c>
      <c r="D33" s="2" t="inlineStr">
        <is>
          <t>输出</t>
        </is>
      </c>
      <c r="E33" s="2" t="inlineStr">
        <is>
          <t>Legendary</t>
        </is>
      </c>
      <c r="F33" s="2" t="inlineStr">
        <is>
          <t>CriticalPercent</t>
        </is>
      </c>
      <c r="G33" s="3" t="n">
        <v>29</v>
      </c>
      <c r="H33" s="3" t="n">
        <v>348</v>
      </c>
      <c r="I33" s="3" t="n">
        <v>1</v>
      </c>
      <c r="J33" s="2">
        <f>H33*I33</f>
        <v/>
      </c>
      <c r="K33" s="3" t="n">
        <v>350</v>
      </c>
      <c r="L33" s="2">
        <f>J33-K33</f>
        <v/>
      </c>
      <c r="M33" s="2" t="inlineStr">
        <is>
          <t>5+</t>
        </is>
      </c>
      <c r="N33" s="3" t="n">
        <v>40</v>
      </c>
      <c r="O33" s="3" t="n">
        <v>0.85</v>
      </c>
      <c r="P33" s="2" t="inlineStr">
        <is>
          <t>可重复</t>
        </is>
      </c>
      <c r="Q33" s="2" t="inlineStr">
        <is>
          <t>后期属性；低暴击率构筑拿到时实际收益偏低。</t>
        </is>
      </c>
    </row>
    <row r="34">
      <c r="A34" s="2" t="inlineStr">
        <is>
          <t>Upgrade_MaxHealth_Common</t>
        </is>
      </c>
      <c r="B34" s="2" t="inlineStr">
        <is>
          <t>Upgrade_MaxHealth</t>
        </is>
      </c>
      <c r="C34" s="2" t="inlineStr">
        <is>
          <t>生命强化-普通</t>
        </is>
      </c>
      <c r="D34" s="2" t="inlineStr">
        <is>
          <t>生存</t>
        </is>
      </c>
      <c r="E34" s="2" t="inlineStr">
        <is>
          <t>Common</t>
        </is>
      </c>
      <c r="F34" s="2" t="inlineStr">
        <is>
          <t>MaxHealth</t>
        </is>
      </c>
      <c r="G34" s="3" t="n">
        <v>20</v>
      </c>
      <c r="H34" s="3" t="n">
        <v>100</v>
      </c>
      <c r="I34" s="3" t="n">
        <v>1</v>
      </c>
      <c r="J34" s="2">
        <f>H34*I34</f>
        <v/>
      </c>
      <c r="K34" s="3" t="n">
        <v>100</v>
      </c>
      <c r="L34" s="2">
        <f>J34-K34</f>
        <v/>
      </c>
      <c r="M34" s="2" t="inlineStr">
        <is>
          <t>1+</t>
        </is>
      </c>
      <c r="N34" s="3" t="n">
        <v>100</v>
      </c>
      <c r="O34" s="3" t="n">
        <v>0.95</v>
      </c>
      <c r="P34" s="2" t="inlineStr">
        <is>
          <t>可重复</t>
        </is>
      </c>
      <c r="Q34" s="2" t="inlineStr">
        <is>
          <t>生存基础锚点。</t>
        </is>
      </c>
    </row>
    <row r="35">
      <c r="A35" s="2" t="inlineStr">
        <is>
          <t>Upgrade_MaxHealth_Rare</t>
        </is>
      </c>
      <c r="B35" s="2" t="inlineStr">
        <is>
          <t>Upgrade_MaxHealth</t>
        </is>
      </c>
      <c r="C35" s="2" t="inlineStr">
        <is>
          <t>生命强化-稀有</t>
        </is>
      </c>
      <c r="D35" s="2" t="inlineStr">
        <is>
          <t>生存</t>
        </is>
      </c>
      <c r="E35" s="2" t="inlineStr">
        <is>
          <t>Rare</t>
        </is>
      </c>
      <c r="F35" s="2" t="inlineStr">
        <is>
          <t>MaxHealth</t>
        </is>
      </c>
      <c r="G35" s="3" t="n">
        <v>30</v>
      </c>
      <c r="H35" s="3" t="n">
        <v>150</v>
      </c>
      <c r="I35" s="3" t="n">
        <v>1</v>
      </c>
      <c r="J35" s="2">
        <f>H35*I35</f>
        <v/>
      </c>
      <c r="K35" s="3" t="n">
        <v>150</v>
      </c>
      <c r="L35" s="2">
        <f>J35-K35</f>
        <v/>
      </c>
      <c r="M35" s="2" t="inlineStr">
        <is>
          <t>1+</t>
        </is>
      </c>
      <c r="N35" s="3" t="n">
        <v>100</v>
      </c>
      <c r="O35" s="3" t="n">
        <v>0.95</v>
      </c>
      <c r="P35" s="2" t="inlineStr">
        <is>
          <t>可重复</t>
        </is>
      </c>
      <c r="Q35" s="2" t="inlineStr">
        <is>
          <t>生存基础锚点。</t>
        </is>
      </c>
    </row>
    <row r="36">
      <c r="A36" s="2" t="inlineStr">
        <is>
          <t>Upgrade_MaxHealth_Epic</t>
        </is>
      </c>
      <c r="B36" s="2" t="inlineStr">
        <is>
          <t>Upgrade_MaxHealth</t>
        </is>
      </c>
      <c r="C36" s="2" t="inlineStr">
        <is>
          <t>生命强化-史诗</t>
        </is>
      </c>
      <c r="D36" s="2" t="inlineStr">
        <is>
          <t>生存</t>
        </is>
      </c>
      <c r="E36" s="2" t="inlineStr">
        <is>
          <t>Epic</t>
        </is>
      </c>
      <c r="F36" s="2" t="inlineStr">
        <is>
          <t>MaxHealth</t>
        </is>
      </c>
      <c r="G36" s="3" t="n">
        <v>45</v>
      </c>
      <c r="H36" s="3" t="n">
        <v>225</v>
      </c>
      <c r="I36" s="3" t="n">
        <v>1</v>
      </c>
      <c r="J36" s="2">
        <f>H36*I36</f>
        <v/>
      </c>
      <c r="K36" s="3" t="n">
        <v>225</v>
      </c>
      <c r="L36" s="2">
        <f>J36-K36</f>
        <v/>
      </c>
      <c r="M36" s="2" t="inlineStr">
        <is>
          <t>1+</t>
        </is>
      </c>
      <c r="N36" s="3" t="n">
        <v>100</v>
      </c>
      <c r="O36" s="3" t="n">
        <v>0.95</v>
      </c>
      <c r="P36" s="2" t="inlineStr">
        <is>
          <t>可重复</t>
        </is>
      </c>
      <c r="Q36" s="2" t="inlineStr">
        <is>
          <t>生存基础锚点。</t>
        </is>
      </c>
    </row>
    <row r="37">
      <c r="A37" s="2" t="inlineStr">
        <is>
          <t>Upgrade_MaxHealth_Legendary</t>
        </is>
      </c>
      <c r="B37" s="2" t="inlineStr">
        <is>
          <t>Upgrade_MaxHealth</t>
        </is>
      </c>
      <c r="C37" s="2" t="inlineStr">
        <is>
          <t>生命强化-传说</t>
        </is>
      </c>
      <c r="D37" s="2" t="inlineStr">
        <is>
          <t>生存</t>
        </is>
      </c>
      <c r="E37" s="2" t="inlineStr">
        <is>
          <t>Legendary</t>
        </is>
      </c>
      <c r="F37" s="2" t="inlineStr">
        <is>
          <t>MaxHealth</t>
        </is>
      </c>
      <c r="G37" s="3" t="n">
        <v>70</v>
      </c>
      <c r="H37" s="3" t="n">
        <v>350</v>
      </c>
      <c r="I37" s="3" t="n">
        <v>1</v>
      </c>
      <c r="J37" s="2">
        <f>H37*I37</f>
        <v/>
      </c>
      <c r="K37" s="3" t="n">
        <v>350</v>
      </c>
      <c r="L37" s="2">
        <f>J37-K37</f>
        <v/>
      </c>
      <c r="M37" s="2" t="inlineStr">
        <is>
          <t>1+</t>
        </is>
      </c>
      <c r="N37" s="3" t="n">
        <v>100</v>
      </c>
      <c r="O37" s="3" t="n">
        <v>0.95</v>
      </c>
      <c r="P37" s="2" t="inlineStr">
        <is>
          <t>可重复</t>
        </is>
      </c>
      <c r="Q37" s="2" t="inlineStr">
        <is>
          <t>生存基础锚点。</t>
        </is>
      </c>
    </row>
    <row r="38">
      <c r="A38" s="2" t="inlineStr">
        <is>
          <t>Upgrade_HealthRecovery_Common</t>
        </is>
      </c>
      <c r="B38" s="2" t="inlineStr">
        <is>
          <t>Upgrade_HealthRecovery</t>
        </is>
      </c>
      <c r="C38" s="2" t="inlineStr">
        <is>
          <t>生命恢复强化-普通</t>
        </is>
      </c>
      <c r="D38" s="2" t="inlineStr">
        <is>
          <t>生存</t>
        </is>
      </c>
      <c r="E38" s="2" t="inlineStr">
        <is>
          <t>Common</t>
        </is>
      </c>
      <c r="F38" s="2" t="inlineStr">
        <is>
          <t>HealthRecoverySpeed</t>
        </is>
      </c>
      <c r="G38" s="3" t="n">
        <v>10</v>
      </c>
      <c r="H38" s="3" t="n">
        <v>100</v>
      </c>
      <c r="I38" s="3" t="n">
        <v>1</v>
      </c>
      <c r="J38" s="2">
        <f>H38*I38</f>
        <v/>
      </c>
      <c r="K38" s="3" t="n">
        <v>100</v>
      </c>
      <c r="L38" s="2">
        <f>J38-K38</f>
        <v/>
      </c>
      <c r="M38" s="2" t="inlineStr">
        <is>
          <t>1+</t>
        </is>
      </c>
      <c r="N38" s="3" t="n">
        <v>75</v>
      </c>
      <c r="O38" s="3" t="n">
        <v>0.9</v>
      </c>
      <c r="P38" s="2" t="inlineStr">
        <is>
          <t>可重复</t>
        </is>
      </c>
      <c r="Q38" s="2" t="inlineStr">
        <is>
          <t>当前实战中稳定性高，不能和多条生存链路无脑叠满。</t>
        </is>
      </c>
    </row>
    <row r="39">
      <c r="A39" s="2" t="inlineStr">
        <is>
          <t>Upgrade_HealthRecovery_Rare</t>
        </is>
      </c>
      <c r="B39" s="2" t="inlineStr">
        <is>
          <t>Upgrade_HealthRecovery</t>
        </is>
      </c>
      <c r="C39" s="2" t="inlineStr">
        <is>
          <t>生命恢复强化-稀有</t>
        </is>
      </c>
      <c r="D39" s="2" t="inlineStr">
        <is>
          <t>生存</t>
        </is>
      </c>
      <c r="E39" s="2" t="inlineStr">
        <is>
          <t>Rare</t>
        </is>
      </c>
      <c r="F39" s="2" t="inlineStr">
        <is>
          <t>HealthRecoverySpeed</t>
        </is>
      </c>
      <c r="G39" s="3" t="n">
        <v>15</v>
      </c>
      <c r="H39" s="3" t="n">
        <v>150</v>
      </c>
      <c r="I39" s="3" t="n">
        <v>1</v>
      </c>
      <c r="J39" s="2">
        <f>H39*I39</f>
        <v/>
      </c>
      <c r="K39" s="3" t="n">
        <v>150</v>
      </c>
      <c r="L39" s="2">
        <f>J39-K39</f>
        <v/>
      </c>
      <c r="M39" s="2" t="inlineStr">
        <is>
          <t>1+</t>
        </is>
      </c>
      <c r="N39" s="3" t="n">
        <v>75</v>
      </c>
      <c r="O39" s="3" t="n">
        <v>0.9</v>
      </c>
      <c r="P39" s="2" t="inlineStr">
        <is>
          <t>可重复</t>
        </is>
      </c>
      <c r="Q39" s="2" t="inlineStr">
        <is>
          <t>当前实战中稳定性高，不能和多条生存链路无脑叠满。</t>
        </is>
      </c>
    </row>
    <row r="40">
      <c r="A40" s="2" t="inlineStr">
        <is>
          <t>Upgrade_HealthRecovery_Epic</t>
        </is>
      </c>
      <c r="B40" s="2" t="inlineStr">
        <is>
          <t>Upgrade_HealthRecovery</t>
        </is>
      </c>
      <c r="C40" s="2" t="inlineStr">
        <is>
          <t>生命恢复强化-史诗</t>
        </is>
      </c>
      <c r="D40" s="2" t="inlineStr">
        <is>
          <t>生存</t>
        </is>
      </c>
      <c r="E40" s="2" t="inlineStr">
        <is>
          <t>Epic</t>
        </is>
      </c>
      <c r="F40" s="2" t="inlineStr">
        <is>
          <t>HealthRecoverySpeed</t>
        </is>
      </c>
      <c r="G40" s="3" t="n">
        <v>22</v>
      </c>
      <c r="H40" s="3" t="n">
        <v>220</v>
      </c>
      <c r="I40" s="3" t="n">
        <v>1</v>
      </c>
      <c r="J40" s="2">
        <f>H40*I40</f>
        <v/>
      </c>
      <c r="K40" s="3" t="n">
        <v>225</v>
      </c>
      <c r="L40" s="2">
        <f>J40-K40</f>
        <v/>
      </c>
      <c r="M40" s="2" t="inlineStr">
        <is>
          <t>1+</t>
        </is>
      </c>
      <c r="N40" s="3" t="n">
        <v>75</v>
      </c>
      <c r="O40" s="3" t="n">
        <v>0.9</v>
      </c>
      <c r="P40" s="2" t="inlineStr">
        <is>
          <t>可重复</t>
        </is>
      </c>
      <c r="Q40" s="2" t="inlineStr">
        <is>
          <t>当前实战中稳定性高，不能和多条生存链路无脑叠满。</t>
        </is>
      </c>
    </row>
    <row r="41">
      <c r="A41" s="2" t="inlineStr">
        <is>
          <t>Upgrade_HealthRecovery_Legendary</t>
        </is>
      </c>
      <c r="B41" s="2" t="inlineStr">
        <is>
          <t>Upgrade_HealthRecovery</t>
        </is>
      </c>
      <c r="C41" s="2" t="inlineStr">
        <is>
          <t>生命恢复强化-传说</t>
        </is>
      </c>
      <c r="D41" s="2" t="inlineStr">
        <is>
          <t>生存</t>
        </is>
      </c>
      <c r="E41" s="2" t="inlineStr">
        <is>
          <t>Legendary</t>
        </is>
      </c>
      <c r="F41" s="2" t="inlineStr">
        <is>
          <t>HealthRecoverySpeed</t>
        </is>
      </c>
      <c r="G41" s="3" t="n">
        <v>35</v>
      </c>
      <c r="H41" s="3" t="n">
        <v>350</v>
      </c>
      <c r="I41" s="3" t="n">
        <v>1</v>
      </c>
      <c r="J41" s="2">
        <f>H41*I41</f>
        <v/>
      </c>
      <c r="K41" s="3" t="n">
        <v>350</v>
      </c>
      <c r="L41" s="2">
        <f>J41-K41</f>
        <v/>
      </c>
      <c r="M41" s="2" t="inlineStr">
        <is>
          <t>1+</t>
        </is>
      </c>
      <c r="N41" s="3" t="n">
        <v>75</v>
      </c>
      <c r="O41" s="3" t="n">
        <v>0.9</v>
      </c>
      <c r="P41" s="2" t="inlineStr">
        <is>
          <t>可重复</t>
        </is>
      </c>
      <c r="Q41" s="2" t="inlineStr">
        <is>
          <t>当前实战中稳定性高，不能和多条生存链路无脑叠满。</t>
        </is>
      </c>
    </row>
    <row r="42">
      <c r="A42" s="2" t="inlineStr">
        <is>
          <t>Upgrade_Armor_Rare</t>
        </is>
      </c>
      <c r="B42" s="2" t="inlineStr">
        <is>
          <t>Upgrade_Armor</t>
        </is>
      </c>
      <c r="C42" s="2" t="inlineStr">
        <is>
          <t>护甲强化-稀有</t>
        </is>
      </c>
      <c r="D42" s="2" t="inlineStr">
        <is>
          <t>生存</t>
        </is>
      </c>
      <c r="E42" s="2" t="inlineStr">
        <is>
          <t>Rare</t>
        </is>
      </c>
      <c r="F42" s="2" t="inlineStr">
        <is>
          <t>Armor</t>
        </is>
      </c>
      <c r="G42" s="3" t="n">
        <v>2</v>
      </c>
      <c r="H42" s="3" t="n">
        <v>160</v>
      </c>
      <c r="I42" s="3" t="n">
        <v>1</v>
      </c>
      <c r="J42" s="2">
        <f>H42*I42</f>
        <v/>
      </c>
      <c r="K42" s="3" t="n">
        <v>150</v>
      </c>
      <c r="L42" s="2">
        <f>J42-K42</f>
        <v/>
      </c>
      <c r="M42" s="2" t="inlineStr">
        <is>
          <t>2+</t>
        </is>
      </c>
      <c r="N42" s="3" t="n">
        <v>45</v>
      </c>
      <c r="O42" s="3" t="n">
        <v>0.85</v>
      </c>
      <c r="P42" s="2" t="inlineStr">
        <is>
          <t>可重复</t>
        </is>
      </c>
      <c r="Q42" s="2" t="inlineStr">
        <is>
          <t>单点价值高，不提供 Common 档。</t>
        </is>
      </c>
    </row>
    <row r="43">
      <c r="A43" s="2" t="inlineStr">
        <is>
          <t>Upgrade_Armor_Epic</t>
        </is>
      </c>
      <c r="B43" s="2" t="inlineStr">
        <is>
          <t>Upgrade_Armor</t>
        </is>
      </c>
      <c r="C43" s="2" t="inlineStr">
        <is>
          <t>护甲强化-史诗</t>
        </is>
      </c>
      <c r="D43" s="2" t="inlineStr">
        <is>
          <t>生存</t>
        </is>
      </c>
      <c r="E43" s="2" t="inlineStr">
        <is>
          <t>Epic</t>
        </is>
      </c>
      <c r="F43" s="2" t="inlineStr">
        <is>
          <t>Armor</t>
        </is>
      </c>
      <c r="G43" s="3" t="n">
        <v>3</v>
      </c>
      <c r="H43" s="3" t="n">
        <v>240</v>
      </c>
      <c r="I43" s="3" t="n">
        <v>1</v>
      </c>
      <c r="J43" s="2">
        <f>H43*I43</f>
        <v/>
      </c>
      <c r="K43" s="3" t="n">
        <v>225</v>
      </c>
      <c r="L43" s="2">
        <f>J43-K43</f>
        <v/>
      </c>
      <c r="M43" s="2" t="inlineStr">
        <is>
          <t>2+</t>
        </is>
      </c>
      <c r="N43" s="3" t="n">
        <v>45</v>
      </c>
      <c r="O43" s="3" t="n">
        <v>0.85</v>
      </c>
      <c r="P43" s="2" t="inlineStr">
        <is>
          <t>可重复</t>
        </is>
      </c>
      <c r="Q43" s="2" t="inlineStr">
        <is>
          <t>单点价值高，不提供 Common 档。</t>
        </is>
      </c>
    </row>
    <row r="44">
      <c r="A44" s="2" t="inlineStr">
        <is>
          <t>Upgrade_Armor_Legendary</t>
        </is>
      </c>
      <c r="B44" s="2" t="inlineStr">
        <is>
          <t>Upgrade_Armor</t>
        </is>
      </c>
      <c r="C44" s="2" t="inlineStr">
        <is>
          <t>护甲强化-传说</t>
        </is>
      </c>
      <c r="D44" s="2" t="inlineStr">
        <is>
          <t>生存</t>
        </is>
      </c>
      <c r="E44" s="2" t="inlineStr">
        <is>
          <t>Legendary</t>
        </is>
      </c>
      <c r="F44" s="2" t="inlineStr">
        <is>
          <t>Armor</t>
        </is>
      </c>
      <c r="G44" s="3" t="n">
        <v>4</v>
      </c>
      <c r="H44" s="3" t="n">
        <v>320</v>
      </c>
      <c r="I44" s="3" t="n">
        <v>1</v>
      </c>
      <c r="J44" s="2">
        <f>H44*I44</f>
        <v/>
      </c>
      <c r="K44" s="3" t="n">
        <v>350</v>
      </c>
      <c r="L44" s="2">
        <f>J44-K44</f>
        <v/>
      </c>
      <c r="M44" s="2" t="inlineStr">
        <is>
          <t>2+</t>
        </is>
      </c>
      <c r="N44" s="3" t="n">
        <v>45</v>
      </c>
      <c r="O44" s="3" t="n">
        <v>0.85</v>
      </c>
      <c r="P44" s="2" t="inlineStr">
        <is>
          <t>可重复</t>
        </is>
      </c>
      <c r="Q44" s="2" t="inlineStr">
        <is>
          <t>单点价值高，不提供 Common 档。</t>
        </is>
      </c>
    </row>
    <row r="45">
      <c r="A45" s="2" t="inlineStr">
        <is>
          <t>Upgrade_DamageReduction_Common</t>
        </is>
      </c>
      <c r="B45" s="2" t="inlineStr">
        <is>
          <t>Upgrade_DamageReduction</t>
        </is>
      </c>
      <c r="C45" s="2" t="inlineStr">
        <is>
          <t>减伤强化-普通</t>
        </is>
      </c>
      <c r="D45" s="2" t="inlineStr">
        <is>
          <t>生存</t>
        </is>
      </c>
      <c r="E45" s="2" t="inlineStr">
        <is>
          <t>Common</t>
        </is>
      </c>
      <c r="F45" s="2" t="inlineStr">
        <is>
          <t>DamageReduction</t>
        </is>
      </c>
      <c r="G45" s="3" t="n">
        <v>4</v>
      </c>
      <c r="H45" s="3" t="n">
        <v>100</v>
      </c>
      <c r="I45" s="3" t="n">
        <v>1</v>
      </c>
      <c r="J45" s="2">
        <f>H45*I45</f>
        <v/>
      </c>
      <c r="K45" s="3" t="n">
        <v>100</v>
      </c>
      <c r="L45" s="2">
        <f>J45-K45</f>
        <v/>
      </c>
      <c r="M45" s="2" t="inlineStr">
        <is>
          <t>3+</t>
        </is>
      </c>
      <c r="N45" s="3" t="n">
        <v>50</v>
      </c>
      <c r="O45" s="3" t="n">
        <v>0.85</v>
      </c>
      <c r="P45" s="2" t="inlineStr">
        <is>
          <t>可重复</t>
        </is>
      </c>
      <c r="Q45" s="2" t="inlineStr">
        <is>
          <t>与护甲、闪避、回复复合放大，权重保守。</t>
        </is>
      </c>
    </row>
    <row r="46">
      <c r="A46" s="2" t="inlineStr">
        <is>
          <t>Upgrade_DamageReduction_Rare</t>
        </is>
      </c>
      <c r="B46" s="2" t="inlineStr">
        <is>
          <t>Upgrade_DamageReduction</t>
        </is>
      </c>
      <c r="C46" s="2" t="inlineStr">
        <is>
          <t>减伤强化-稀有</t>
        </is>
      </c>
      <c r="D46" s="2" t="inlineStr">
        <is>
          <t>生存</t>
        </is>
      </c>
      <c r="E46" s="2" t="inlineStr">
        <is>
          <t>Rare</t>
        </is>
      </c>
      <c r="F46" s="2" t="inlineStr">
        <is>
          <t>DamageReduction</t>
        </is>
      </c>
      <c r="G46" s="3" t="n">
        <v>6</v>
      </c>
      <c r="H46" s="3" t="n">
        <v>150</v>
      </c>
      <c r="I46" s="3" t="n">
        <v>1</v>
      </c>
      <c r="J46" s="2">
        <f>H46*I46</f>
        <v/>
      </c>
      <c r="K46" s="3" t="n">
        <v>150</v>
      </c>
      <c r="L46" s="2">
        <f>J46-K46</f>
        <v/>
      </c>
      <c r="M46" s="2" t="inlineStr">
        <is>
          <t>3+</t>
        </is>
      </c>
      <c r="N46" s="3" t="n">
        <v>50</v>
      </c>
      <c r="O46" s="3" t="n">
        <v>0.85</v>
      </c>
      <c r="P46" s="2" t="inlineStr">
        <is>
          <t>可重复</t>
        </is>
      </c>
      <c r="Q46" s="2" t="inlineStr">
        <is>
          <t>与护甲、闪避、回复复合放大，权重保守。</t>
        </is>
      </c>
    </row>
    <row r="47">
      <c r="A47" s="2" t="inlineStr">
        <is>
          <t>Upgrade_DamageReduction_Epic</t>
        </is>
      </c>
      <c r="B47" s="2" t="inlineStr">
        <is>
          <t>Upgrade_DamageReduction</t>
        </is>
      </c>
      <c r="C47" s="2" t="inlineStr">
        <is>
          <t>减伤强化-史诗</t>
        </is>
      </c>
      <c r="D47" s="2" t="inlineStr">
        <is>
          <t>生存</t>
        </is>
      </c>
      <c r="E47" s="2" t="inlineStr">
        <is>
          <t>Epic</t>
        </is>
      </c>
      <c r="F47" s="2" t="inlineStr">
        <is>
          <t>DamageReduction</t>
        </is>
      </c>
      <c r="G47" s="3" t="n">
        <v>9</v>
      </c>
      <c r="H47" s="3" t="n">
        <v>225</v>
      </c>
      <c r="I47" s="3" t="n">
        <v>1</v>
      </c>
      <c r="J47" s="2">
        <f>H47*I47</f>
        <v/>
      </c>
      <c r="K47" s="3" t="n">
        <v>225</v>
      </c>
      <c r="L47" s="2">
        <f>J47-K47</f>
        <v/>
      </c>
      <c r="M47" s="2" t="inlineStr">
        <is>
          <t>3+</t>
        </is>
      </c>
      <c r="N47" s="3" t="n">
        <v>50</v>
      </c>
      <c r="O47" s="3" t="n">
        <v>0.85</v>
      </c>
      <c r="P47" s="2" t="inlineStr">
        <is>
          <t>可重复</t>
        </is>
      </c>
      <c r="Q47" s="2" t="inlineStr">
        <is>
          <t>与护甲、闪避、回复复合放大，权重保守。</t>
        </is>
      </c>
    </row>
    <row r="48">
      <c r="A48" s="2" t="inlineStr">
        <is>
          <t>Upgrade_DamageReduction_Legendary</t>
        </is>
      </c>
      <c r="B48" s="2" t="inlineStr">
        <is>
          <t>Upgrade_DamageReduction</t>
        </is>
      </c>
      <c r="C48" s="2" t="inlineStr">
        <is>
          <t>减伤强化-传说</t>
        </is>
      </c>
      <c r="D48" s="2" t="inlineStr">
        <is>
          <t>生存</t>
        </is>
      </c>
      <c r="E48" s="2" t="inlineStr">
        <is>
          <t>Legendary</t>
        </is>
      </c>
      <c r="F48" s="2" t="inlineStr">
        <is>
          <t>DamageReduction</t>
        </is>
      </c>
      <c r="G48" s="3" t="n">
        <v>14</v>
      </c>
      <c r="H48" s="3" t="n">
        <v>350</v>
      </c>
      <c r="I48" s="3" t="n">
        <v>1</v>
      </c>
      <c r="J48" s="2">
        <f>H48*I48</f>
        <v/>
      </c>
      <c r="K48" s="3" t="n">
        <v>350</v>
      </c>
      <c r="L48" s="2">
        <f>J48-K48</f>
        <v/>
      </c>
      <c r="M48" s="2" t="inlineStr">
        <is>
          <t>3+</t>
        </is>
      </c>
      <c r="N48" s="3" t="n">
        <v>50</v>
      </c>
      <c r="O48" s="3" t="n">
        <v>0.85</v>
      </c>
      <c r="P48" s="2" t="inlineStr">
        <is>
          <t>可重复</t>
        </is>
      </c>
      <c r="Q48" s="2" t="inlineStr">
        <is>
          <t>与护甲、闪避、回复复合放大，权重保守。</t>
        </is>
      </c>
    </row>
    <row r="49">
      <c r="A49" s="2" t="inlineStr">
        <is>
          <t>Upgrade_Dodge_Common</t>
        </is>
      </c>
      <c r="B49" s="2" t="inlineStr">
        <is>
          <t>Upgrade_Dodge</t>
        </is>
      </c>
      <c r="C49" s="2" t="inlineStr">
        <is>
          <t>闪避强化-普通</t>
        </is>
      </c>
      <c r="D49" s="2" t="inlineStr">
        <is>
          <t>生存</t>
        </is>
      </c>
      <c r="E49" s="2" t="inlineStr">
        <is>
          <t>Common</t>
        </is>
      </c>
      <c r="F49" s="2" t="inlineStr">
        <is>
          <t>Dodge</t>
        </is>
      </c>
      <c r="G49" s="3" t="n">
        <v>3</v>
      </c>
      <c r="H49" s="3" t="n">
        <v>99</v>
      </c>
      <c r="I49" s="3" t="n">
        <v>1</v>
      </c>
      <c r="J49" s="2">
        <f>H49*I49</f>
        <v/>
      </c>
      <c r="K49" s="3" t="n">
        <v>100</v>
      </c>
      <c r="L49" s="2">
        <f>J49-K49</f>
        <v/>
      </c>
      <c r="M49" s="2" t="inlineStr">
        <is>
          <t>2+</t>
        </is>
      </c>
      <c r="N49" s="3" t="n">
        <v>55</v>
      </c>
      <c r="O49" s="3" t="n">
        <v>0.85</v>
      </c>
      <c r="P49" s="2" t="inlineStr">
        <is>
          <t>可重复</t>
        </is>
      </c>
      <c r="Q49" s="2" t="inlineStr">
        <is>
          <t>有效闪避上限为 50%，重复选择后实际收益受上限限制。</t>
        </is>
      </c>
    </row>
    <row r="50">
      <c r="A50" s="2" t="inlineStr">
        <is>
          <t>Upgrade_Dodge_Rare</t>
        </is>
      </c>
      <c r="B50" s="2" t="inlineStr">
        <is>
          <t>Upgrade_Dodge</t>
        </is>
      </c>
      <c r="C50" s="2" t="inlineStr">
        <is>
          <t>闪避强化-稀有</t>
        </is>
      </c>
      <c r="D50" s="2" t="inlineStr">
        <is>
          <t>生存</t>
        </is>
      </c>
      <c r="E50" s="2" t="inlineStr">
        <is>
          <t>Rare</t>
        </is>
      </c>
      <c r="F50" s="2" t="inlineStr">
        <is>
          <t>Dodge</t>
        </is>
      </c>
      <c r="G50" s="3" t="n">
        <v>5</v>
      </c>
      <c r="H50" s="3" t="n">
        <v>165</v>
      </c>
      <c r="I50" s="3" t="n">
        <v>1</v>
      </c>
      <c r="J50" s="2">
        <f>H50*I50</f>
        <v/>
      </c>
      <c r="K50" s="3" t="n">
        <v>150</v>
      </c>
      <c r="L50" s="2">
        <f>J50-K50</f>
        <v/>
      </c>
      <c r="M50" s="2" t="inlineStr">
        <is>
          <t>2+</t>
        </is>
      </c>
      <c r="N50" s="3" t="n">
        <v>55</v>
      </c>
      <c r="O50" s="3" t="n">
        <v>0.85</v>
      </c>
      <c r="P50" s="2" t="inlineStr">
        <is>
          <t>可重复</t>
        </is>
      </c>
      <c r="Q50" s="2" t="inlineStr">
        <is>
          <t>有效闪避上限为 50%，重复选择后实际收益受上限限制。</t>
        </is>
      </c>
    </row>
    <row r="51">
      <c r="A51" s="2" t="inlineStr">
        <is>
          <t>Upgrade_Dodge_Epic</t>
        </is>
      </c>
      <c r="B51" s="2" t="inlineStr">
        <is>
          <t>Upgrade_Dodge</t>
        </is>
      </c>
      <c r="C51" s="2" t="inlineStr">
        <is>
          <t>闪避强化-史诗</t>
        </is>
      </c>
      <c r="D51" s="2" t="inlineStr">
        <is>
          <t>生存</t>
        </is>
      </c>
      <c r="E51" s="2" t="inlineStr">
        <is>
          <t>Epic</t>
        </is>
      </c>
      <c r="F51" s="2" t="inlineStr">
        <is>
          <t>Dodge</t>
        </is>
      </c>
      <c r="G51" s="3" t="n">
        <v>7</v>
      </c>
      <c r="H51" s="3" t="n">
        <v>231</v>
      </c>
      <c r="I51" s="3" t="n">
        <v>1</v>
      </c>
      <c r="J51" s="2">
        <f>H51*I51</f>
        <v/>
      </c>
      <c r="K51" s="3" t="n">
        <v>225</v>
      </c>
      <c r="L51" s="2">
        <f>J51-K51</f>
        <v/>
      </c>
      <c r="M51" s="2" t="inlineStr">
        <is>
          <t>2+</t>
        </is>
      </c>
      <c r="N51" s="3" t="n">
        <v>55</v>
      </c>
      <c r="O51" s="3" t="n">
        <v>0.85</v>
      </c>
      <c r="P51" s="2" t="inlineStr">
        <is>
          <t>可重复</t>
        </is>
      </c>
      <c r="Q51" s="2" t="inlineStr">
        <is>
          <t>有效闪避上限为 50%，重复选择后实际收益受上限限制。</t>
        </is>
      </c>
    </row>
    <row r="52">
      <c r="A52" s="2" t="inlineStr">
        <is>
          <t>Upgrade_Dodge_Legendary</t>
        </is>
      </c>
      <c r="B52" s="2" t="inlineStr">
        <is>
          <t>Upgrade_Dodge</t>
        </is>
      </c>
      <c r="C52" s="2" t="inlineStr">
        <is>
          <t>闪避强化-传说</t>
        </is>
      </c>
      <c r="D52" s="2" t="inlineStr">
        <is>
          <t>生存</t>
        </is>
      </c>
      <c r="E52" s="2" t="inlineStr">
        <is>
          <t>Legendary</t>
        </is>
      </c>
      <c r="F52" s="2" t="inlineStr">
        <is>
          <t>Dodge</t>
        </is>
      </c>
      <c r="G52" s="3" t="n">
        <v>10</v>
      </c>
      <c r="H52" s="3" t="n">
        <v>330</v>
      </c>
      <c r="I52" s="3" t="n">
        <v>1</v>
      </c>
      <c r="J52" s="2">
        <f>H52*I52</f>
        <v/>
      </c>
      <c r="K52" s="3" t="n">
        <v>350</v>
      </c>
      <c r="L52" s="2">
        <f>J52-K52</f>
        <v/>
      </c>
      <c r="M52" s="2" t="inlineStr">
        <is>
          <t>2+</t>
        </is>
      </c>
      <c r="N52" s="3" t="n">
        <v>55</v>
      </c>
      <c r="O52" s="3" t="n">
        <v>0.85</v>
      </c>
      <c r="P52" s="2" t="inlineStr">
        <is>
          <t>可重复</t>
        </is>
      </c>
      <c r="Q52" s="2" t="inlineStr">
        <is>
          <t>有效闪避上限为 50%，重复选择后实际收益受上限限制。</t>
        </is>
      </c>
    </row>
    <row r="53">
      <c r="A53" s="2" t="inlineStr">
        <is>
          <t>Upgrade_MoveSpeed_Common</t>
        </is>
      </c>
      <c r="B53" s="2" t="inlineStr">
        <is>
          <t>Upgrade_MoveSpeed</t>
        </is>
      </c>
      <c r="C53" s="2" t="inlineStr">
        <is>
          <t>移速强化-普通</t>
        </is>
      </c>
      <c r="D53" s="2" t="inlineStr">
        <is>
          <t>机动</t>
        </is>
      </c>
      <c r="E53" s="2" t="inlineStr">
        <is>
          <t>Common</t>
        </is>
      </c>
      <c r="F53" s="2" t="inlineStr">
        <is>
          <t>MoveSpeed</t>
        </is>
      </c>
      <c r="G53" s="3" t="n">
        <v>10</v>
      </c>
      <c r="H53" s="3" t="n">
        <v>100</v>
      </c>
      <c r="I53" s="3" t="n">
        <v>1</v>
      </c>
      <c r="J53" s="2">
        <f>H53*I53</f>
        <v/>
      </c>
      <c r="K53" s="3" t="n">
        <v>100</v>
      </c>
      <c r="L53" s="2">
        <f>J53-K53</f>
        <v/>
      </c>
      <c r="M53" s="2" t="inlineStr">
        <is>
          <t>1+</t>
        </is>
      </c>
      <c r="N53" s="3" t="n">
        <v>70</v>
      </c>
      <c r="O53" s="3" t="n">
        <v>0.95</v>
      </c>
      <c r="P53" s="2" t="inlineStr">
        <is>
          <t>可重复</t>
        </is>
      </c>
      <c r="Q53" s="2" t="inlineStr">
        <is>
          <t>手感属性，数值过高会降低怪物压力。</t>
        </is>
      </c>
    </row>
    <row r="54">
      <c r="A54" s="2" t="inlineStr">
        <is>
          <t>Upgrade_MoveSpeed_Rare</t>
        </is>
      </c>
      <c r="B54" s="2" t="inlineStr">
        <is>
          <t>Upgrade_MoveSpeed</t>
        </is>
      </c>
      <c r="C54" s="2" t="inlineStr">
        <is>
          <t>移速强化-稀有</t>
        </is>
      </c>
      <c r="D54" s="2" t="inlineStr">
        <is>
          <t>机动</t>
        </is>
      </c>
      <c r="E54" s="2" t="inlineStr">
        <is>
          <t>Rare</t>
        </is>
      </c>
      <c r="F54" s="2" t="inlineStr">
        <is>
          <t>MoveSpeed</t>
        </is>
      </c>
      <c r="G54" s="3" t="n">
        <v>15</v>
      </c>
      <c r="H54" s="3" t="n">
        <v>150</v>
      </c>
      <c r="I54" s="3" t="n">
        <v>1</v>
      </c>
      <c r="J54" s="2">
        <f>H54*I54</f>
        <v/>
      </c>
      <c r="K54" s="3" t="n">
        <v>150</v>
      </c>
      <c r="L54" s="2">
        <f>J54-K54</f>
        <v/>
      </c>
      <c r="M54" s="2" t="inlineStr">
        <is>
          <t>1+</t>
        </is>
      </c>
      <c r="N54" s="3" t="n">
        <v>70</v>
      </c>
      <c r="O54" s="3" t="n">
        <v>0.95</v>
      </c>
      <c r="P54" s="2" t="inlineStr">
        <is>
          <t>可重复</t>
        </is>
      </c>
      <c r="Q54" s="2" t="inlineStr">
        <is>
          <t>手感属性，数值过高会降低怪物压力。</t>
        </is>
      </c>
    </row>
    <row r="55">
      <c r="A55" s="2" t="inlineStr">
        <is>
          <t>Upgrade_MoveSpeed_Epic</t>
        </is>
      </c>
      <c r="B55" s="2" t="inlineStr">
        <is>
          <t>Upgrade_MoveSpeed</t>
        </is>
      </c>
      <c r="C55" s="2" t="inlineStr">
        <is>
          <t>移速强化-史诗</t>
        </is>
      </c>
      <c r="D55" s="2" t="inlineStr">
        <is>
          <t>机动</t>
        </is>
      </c>
      <c r="E55" s="2" t="inlineStr">
        <is>
          <t>Epic</t>
        </is>
      </c>
      <c r="F55" s="2" t="inlineStr">
        <is>
          <t>MoveSpeed</t>
        </is>
      </c>
      <c r="G55" s="3" t="n">
        <v>22</v>
      </c>
      <c r="H55" s="3" t="n">
        <v>220</v>
      </c>
      <c r="I55" s="3" t="n">
        <v>1</v>
      </c>
      <c r="J55" s="2">
        <f>H55*I55</f>
        <v/>
      </c>
      <c r="K55" s="3" t="n">
        <v>225</v>
      </c>
      <c r="L55" s="2">
        <f>J55-K55</f>
        <v/>
      </c>
      <c r="M55" s="2" t="inlineStr">
        <is>
          <t>1+</t>
        </is>
      </c>
      <c r="N55" s="3" t="n">
        <v>70</v>
      </c>
      <c r="O55" s="3" t="n">
        <v>0.95</v>
      </c>
      <c r="P55" s="2" t="inlineStr">
        <is>
          <t>可重复</t>
        </is>
      </c>
      <c r="Q55" s="2" t="inlineStr">
        <is>
          <t>手感属性，数值过高会降低怪物压力。</t>
        </is>
      </c>
    </row>
    <row r="56">
      <c r="A56" s="2" t="inlineStr">
        <is>
          <t>Upgrade_MoveSpeed_Legendary</t>
        </is>
      </c>
      <c r="B56" s="2" t="inlineStr">
        <is>
          <t>Upgrade_MoveSpeed</t>
        </is>
      </c>
      <c r="C56" s="2" t="inlineStr">
        <is>
          <t>移速强化-传说</t>
        </is>
      </c>
      <c r="D56" s="2" t="inlineStr">
        <is>
          <t>机动</t>
        </is>
      </c>
      <c r="E56" s="2" t="inlineStr">
        <is>
          <t>Legendary</t>
        </is>
      </c>
      <c r="F56" s="2" t="inlineStr">
        <is>
          <t>MoveSpeed</t>
        </is>
      </c>
      <c r="G56" s="3" t="n">
        <v>35</v>
      </c>
      <c r="H56" s="3" t="n">
        <v>350</v>
      </c>
      <c r="I56" s="3" t="n">
        <v>1</v>
      </c>
      <c r="J56" s="2">
        <f>H56*I56</f>
        <v/>
      </c>
      <c r="K56" s="3" t="n">
        <v>350</v>
      </c>
      <c r="L56" s="2">
        <f>J56-K56</f>
        <v/>
      </c>
      <c r="M56" s="2" t="inlineStr">
        <is>
          <t>1+</t>
        </is>
      </c>
      <c r="N56" s="3" t="n">
        <v>70</v>
      </c>
      <c r="O56" s="3" t="n">
        <v>0.95</v>
      </c>
      <c r="P56" s="2" t="inlineStr">
        <is>
          <t>可重复</t>
        </is>
      </c>
      <c r="Q56" s="2" t="inlineStr">
        <is>
          <t>手感属性，数值过高会降低怪物压力。</t>
        </is>
      </c>
    </row>
    <row r="57">
      <c r="A57" s="2" t="inlineStr">
        <is>
          <t>Upgrade_AttackRange_Common</t>
        </is>
      </c>
      <c r="B57" s="2" t="inlineStr">
        <is>
          <t>Upgrade_AttackRange</t>
        </is>
      </c>
      <c r="C57" s="2" t="inlineStr">
        <is>
          <t>攻击范围强化-普通</t>
        </is>
      </c>
      <c r="D57" s="2" t="inlineStr">
        <is>
          <t>机动</t>
        </is>
      </c>
      <c r="E57" s="2" t="inlineStr">
        <is>
          <t>Common</t>
        </is>
      </c>
      <c r="F57" s="2" t="inlineStr">
        <is>
          <t>AttackRange</t>
        </is>
      </c>
      <c r="G57" s="3" t="n">
        <v>12</v>
      </c>
      <c r="H57" s="3" t="n">
        <v>96</v>
      </c>
      <c r="I57" s="3" t="n">
        <v>1</v>
      </c>
      <c r="J57" s="2">
        <f>H57*I57</f>
        <v/>
      </c>
      <c r="K57" s="3" t="n">
        <v>100</v>
      </c>
      <c r="L57" s="2">
        <f>J57-K57</f>
        <v/>
      </c>
      <c r="M57" s="2" t="inlineStr">
        <is>
          <t>1+</t>
        </is>
      </c>
      <c r="N57" s="3" t="n">
        <v>65</v>
      </c>
      <c r="O57" s="3" t="n">
        <v>0.95</v>
      </c>
      <c r="P57" s="2" t="inlineStr">
        <is>
          <t>可重复</t>
        </is>
      </c>
      <c r="Q57" s="2" t="inlineStr">
        <is>
          <t>远程和近战命中覆盖都会受益。</t>
        </is>
      </c>
    </row>
    <row r="58">
      <c r="A58" s="2" t="inlineStr">
        <is>
          <t>Upgrade_AttackRange_Rare</t>
        </is>
      </c>
      <c r="B58" s="2" t="inlineStr">
        <is>
          <t>Upgrade_AttackRange</t>
        </is>
      </c>
      <c r="C58" s="2" t="inlineStr">
        <is>
          <t>攻击范围强化-稀有</t>
        </is>
      </c>
      <c r="D58" s="2" t="inlineStr">
        <is>
          <t>机动</t>
        </is>
      </c>
      <c r="E58" s="2" t="inlineStr">
        <is>
          <t>Rare</t>
        </is>
      </c>
      <c r="F58" s="2" t="inlineStr">
        <is>
          <t>AttackRange</t>
        </is>
      </c>
      <c r="G58" s="3" t="n">
        <v>19</v>
      </c>
      <c r="H58" s="3" t="n">
        <v>152</v>
      </c>
      <c r="I58" s="3" t="n">
        <v>1</v>
      </c>
      <c r="J58" s="2">
        <f>H58*I58</f>
        <v/>
      </c>
      <c r="K58" s="3" t="n">
        <v>150</v>
      </c>
      <c r="L58" s="2">
        <f>J58-K58</f>
        <v/>
      </c>
      <c r="M58" s="2" t="inlineStr">
        <is>
          <t>1+</t>
        </is>
      </c>
      <c r="N58" s="3" t="n">
        <v>65</v>
      </c>
      <c r="O58" s="3" t="n">
        <v>0.95</v>
      </c>
      <c r="P58" s="2" t="inlineStr">
        <is>
          <t>可重复</t>
        </is>
      </c>
      <c r="Q58" s="2" t="inlineStr">
        <is>
          <t>远程和近战命中覆盖都会受益。</t>
        </is>
      </c>
    </row>
    <row r="59">
      <c r="A59" s="2" t="inlineStr">
        <is>
          <t>Upgrade_AttackRange_Epic</t>
        </is>
      </c>
      <c r="B59" s="2" t="inlineStr">
        <is>
          <t>Upgrade_AttackRange</t>
        </is>
      </c>
      <c r="C59" s="2" t="inlineStr">
        <is>
          <t>攻击范围强化-史诗</t>
        </is>
      </c>
      <c r="D59" s="2" t="inlineStr">
        <is>
          <t>机动</t>
        </is>
      </c>
      <c r="E59" s="2" t="inlineStr">
        <is>
          <t>Epic</t>
        </is>
      </c>
      <c r="F59" s="2" t="inlineStr">
        <is>
          <t>AttackRange</t>
        </is>
      </c>
      <c r="G59" s="3" t="n">
        <v>28</v>
      </c>
      <c r="H59" s="3" t="n">
        <v>224</v>
      </c>
      <c r="I59" s="3" t="n">
        <v>1</v>
      </c>
      <c r="J59" s="2">
        <f>H59*I59</f>
        <v/>
      </c>
      <c r="K59" s="3" t="n">
        <v>225</v>
      </c>
      <c r="L59" s="2">
        <f>J59-K59</f>
        <v/>
      </c>
      <c r="M59" s="2" t="inlineStr">
        <is>
          <t>1+</t>
        </is>
      </c>
      <c r="N59" s="3" t="n">
        <v>65</v>
      </c>
      <c r="O59" s="3" t="n">
        <v>0.95</v>
      </c>
      <c r="P59" s="2" t="inlineStr">
        <is>
          <t>可重复</t>
        </is>
      </c>
      <c r="Q59" s="2" t="inlineStr">
        <is>
          <t>远程和近战命中覆盖都会受益。</t>
        </is>
      </c>
    </row>
    <row r="60">
      <c r="A60" s="2" t="inlineStr">
        <is>
          <t>Upgrade_AttackRange_Legendary</t>
        </is>
      </c>
      <c r="B60" s="2" t="inlineStr">
        <is>
          <t>Upgrade_AttackRange</t>
        </is>
      </c>
      <c r="C60" s="2" t="inlineStr">
        <is>
          <t>攻击范围强化-传说</t>
        </is>
      </c>
      <c r="D60" s="2" t="inlineStr">
        <is>
          <t>机动</t>
        </is>
      </c>
      <c r="E60" s="2" t="inlineStr">
        <is>
          <t>Legendary</t>
        </is>
      </c>
      <c r="F60" s="2" t="inlineStr">
        <is>
          <t>AttackRange</t>
        </is>
      </c>
      <c r="G60" s="3" t="n">
        <v>44</v>
      </c>
      <c r="H60" s="3" t="n">
        <v>352</v>
      </c>
      <c r="I60" s="3" t="n">
        <v>1</v>
      </c>
      <c r="J60" s="2">
        <f>H60*I60</f>
        <v/>
      </c>
      <c r="K60" s="3" t="n">
        <v>350</v>
      </c>
      <c r="L60" s="2">
        <f>J60-K60</f>
        <v/>
      </c>
      <c r="M60" s="2" t="inlineStr">
        <is>
          <t>1+</t>
        </is>
      </c>
      <c r="N60" s="3" t="n">
        <v>65</v>
      </c>
      <c r="O60" s="3" t="n">
        <v>0.95</v>
      </c>
      <c r="P60" s="2" t="inlineStr">
        <is>
          <t>可重复</t>
        </is>
      </c>
      <c r="Q60" s="2" t="inlineStr">
        <is>
          <t>远程和近战命中覆盖都会受益。</t>
        </is>
      </c>
    </row>
    <row r="61">
      <c r="A61" s="2" t="inlineStr">
        <is>
          <t>Upgrade_PickupRadius_Common</t>
        </is>
      </c>
      <c r="B61" s="2" t="inlineStr">
        <is>
          <t>Upgrade_PickupRadius</t>
        </is>
      </c>
      <c r="C61" s="2" t="inlineStr">
        <is>
          <t>拾取范围强化-普通</t>
        </is>
      </c>
      <c r="D61" s="2" t="inlineStr">
        <is>
          <t>拾取</t>
        </is>
      </c>
      <c r="E61" s="2" t="inlineStr">
        <is>
          <t>Common</t>
        </is>
      </c>
      <c r="F61" s="2" t="inlineStr">
        <is>
          <t>PickupRadius</t>
        </is>
      </c>
      <c r="G61" s="3" t="n">
        <v>20</v>
      </c>
      <c r="H61" s="3" t="n">
        <v>100</v>
      </c>
      <c r="I61" s="3" t="n">
        <v>1</v>
      </c>
      <c r="J61" s="2">
        <f>H61*I61</f>
        <v/>
      </c>
      <c r="K61" s="3" t="n">
        <v>100</v>
      </c>
      <c r="L61" s="2">
        <f>J61-K61</f>
        <v/>
      </c>
      <c r="M61" s="2" t="inlineStr">
        <is>
          <t>1+</t>
        </is>
      </c>
      <c r="N61" s="3" t="n">
        <v>55</v>
      </c>
      <c r="O61" s="3" t="n">
        <v>0.95</v>
      </c>
      <c r="P61" s="2" t="inlineStr">
        <is>
          <t>可重复</t>
        </is>
      </c>
      <c r="Q61" s="2" t="inlineStr">
        <is>
          <t>主要改善拾取效率，不直接提高战斗力。</t>
        </is>
      </c>
    </row>
    <row r="62">
      <c r="A62" s="2" t="inlineStr">
        <is>
          <t>Upgrade_PickupRadius_Rare</t>
        </is>
      </c>
      <c r="B62" s="2" t="inlineStr">
        <is>
          <t>Upgrade_PickupRadius</t>
        </is>
      </c>
      <c r="C62" s="2" t="inlineStr">
        <is>
          <t>拾取范围强化-稀有</t>
        </is>
      </c>
      <c r="D62" s="2" t="inlineStr">
        <is>
          <t>拾取</t>
        </is>
      </c>
      <c r="E62" s="2" t="inlineStr">
        <is>
          <t>Rare</t>
        </is>
      </c>
      <c r="F62" s="2" t="inlineStr">
        <is>
          <t>PickupRadius</t>
        </is>
      </c>
      <c r="G62" s="3" t="n">
        <v>30</v>
      </c>
      <c r="H62" s="3" t="n">
        <v>150</v>
      </c>
      <c r="I62" s="3" t="n">
        <v>1</v>
      </c>
      <c r="J62" s="2">
        <f>H62*I62</f>
        <v/>
      </c>
      <c r="K62" s="3" t="n">
        <v>150</v>
      </c>
      <c r="L62" s="2">
        <f>J62-K62</f>
        <v/>
      </c>
      <c r="M62" s="2" t="inlineStr">
        <is>
          <t>1+</t>
        </is>
      </c>
      <c r="N62" s="3" t="n">
        <v>55</v>
      </c>
      <c r="O62" s="3" t="n">
        <v>0.95</v>
      </c>
      <c r="P62" s="2" t="inlineStr">
        <is>
          <t>可重复</t>
        </is>
      </c>
      <c r="Q62" s="2" t="inlineStr">
        <is>
          <t>主要改善拾取效率，不直接提高战斗力。</t>
        </is>
      </c>
    </row>
    <row r="63">
      <c r="A63" s="2" t="inlineStr">
        <is>
          <t>Upgrade_PickupRadius_Epic</t>
        </is>
      </c>
      <c r="B63" s="2" t="inlineStr">
        <is>
          <t>Upgrade_PickupRadius</t>
        </is>
      </c>
      <c r="C63" s="2" t="inlineStr">
        <is>
          <t>拾取范围强化-史诗</t>
        </is>
      </c>
      <c r="D63" s="2" t="inlineStr">
        <is>
          <t>拾取</t>
        </is>
      </c>
      <c r="E63" s="2" t="inlineStr">
        <is>
          <t>Epic</t>
        </is>
      </c>
      <c r="F63" s="2" t="inlineStr">
        <is>
          <t>PickupRadius</t>
        </is>
      </c>
      <c r="G63" s="3" t="n">
        <v>45</v>
      </c>
      <c r="H63" s="3" t="n">
        <v>225</v>
      </c>
      <c r="I63" s="3" t="n">
        <v>1</v>
      </c>
      <c r="J63" s="2">
        <f>H63*I63</f>
        <v/>
      </c>
      <c r="K63" s="3" t="n">
        <v>225</v>
      </c>
      <c r="L63" s="2">
        <f>J63-K63</f>
        <v/>
      </c>
      <c r="M63" s="2" t="inlineStr">
        <is>
          <t>1+</t>
        </is>
      </c>
      <c r="N63" s="3" t="n">
        <v>55</v>
      </c>
      <c r="O63" s="3" t="n">
        <v>0.95</v>
      </c>
      <c r="P63" s="2" t="inlineStr">
        <is>
          <t>可重复</t>
        </is>
      </c>
      <c r="Q63" s="2" t="inlineStr">
        <is>
          <t>主要改善拾取效率，不直接提高战斗力。</t>
        </is>
      </c>
    </row>
    <row r="64">
      <c r="A64" s="2" t="inlineStr">
        <is>
          <t>Upgrade_PickupRadius_Legendary</t>
        </is>
      </c>
      <c r="B64" s="2" t="inlineStr">
        <is>
          <t>Upgrade_PickupRadius</t>
        </is>
      </c>
      <c r="C64" s="2" t="inlineStr">
        <is>
          <t>拾取范围强化-传说</t>
        </is>
      </c>
      <c r="D64" s="2" t="inlineStr">
        <is>
          <t>拾取</t>
        </is>
      </c>
      <c r="E64" s="2" t="inlineStr">
        <is>
          <t>Legendary</t>
        </is>
      </c>
      <c r="F64" s="2" t="inlineStr">
        <is>
          <t>PickupRadius</t>
        </is>
      </c>
      <c r="G64" s="3" t="n">
        <v>70</v>
      </c>
      <c r="H64" s="3" t="n">
        <v>350</v>
      </c>
      <c r="I64" s="3" t="n">
        <v>1</v>
      </c>
      <c r="J64" s="2">
        <f>H64*I64</f>
        <v/>
      </c>
      <c r="K64" s="3" t="n">
        <v>350</v>
      </c>
      <c r="L64" s="2">
        <f>J64-K64</f>
        <v/>
      </c>
      <c r="M64" s="2" t="inlineStr">
        <is>
          <t>1+</t>
        </is>
      </c>
      <c r="N64" s="3" t="n">
        <v>55</v>
      </c>
      <c r="O64" s="3" t="n">
        <v>0.95</v>
      </c>
      <c r="P64" s="2" t="inlineStr">
        <is>
          <t>可重复</t>
        </is>
      </c>
      <c r="Q64" s="2" t="inlineStr">
        <is>
          <t>主要改善拾取效率，不直接提高战斗力。</t>
        </is>
      </c>
    </row>
    <row r="65">
      <c r="A65" s="2" t="inlineStr">
        <is>
          <t>Upgrade_Luck_Common</t>
        </is>
      </c>
      <c r="B65" s="2" t="inlineStr">
        <is>
          <t>Upgrade_Luck</t>
        </is>
      </c>
      <c r="C65" s="2" t="inlineStr">
        <is>
          <t>幸运强化-普通</t>
        </is>
      </c>
      <c r="D65" s="2" t="inlineStr">
        <is>
          <t>经济</t>
        </is>
      </c>
      <c r="E65" s="2" t="inlineStr">
        <is>
          <t>Common</t>
        </is>
      </c>
      <c r="F65" s="2" t="inlineStr">
        <is>
          <t>Luck</t>
        </is>
      </c>
      <c r="G65" s="3" t="n">
        <v>5</v>
      </c>
      <c r="H65" s="3" t="n">
        <v>100</v>
      </c>
      <c r="I65" s="3" t="n">
        <v>1</v>
      </c>
      <c r="J65" s="2">
        <f>H65*I65</f>
        <v/>
      </c>
      <c r="K65" s="3" t="n">
        <v>100</v>
      </c>
      <c r="L65" s="2">
        <f>J65-K65</f>
        <v/>
      </c>
      <c r="M65" s="2" t="inlineStr">
        <is>
          <t>1+</t>
        </is>
      </c>
      <c r="N65" s="3" t="n">
        <v>35</v>
      </c>
      <c r="O65" s="3" t="n">
        <v>0.9</v>
      </c>
      <c r="P65" s="2" t="inlineStr">
        <is>
          <t>可重复</t>
        </is>
      </c>
      <c r="Q65" s="2" t="inlineStr">
        <is>
          <t>同时影响商店和奖励入口，权重保守。</t>
        </is>
      </c>
    </row>
    <row r="66">
      <c r="A66" s="2" t="inlineStr">
        <is>
          <t>Upgrade_Luck_Rare</t>
        </is>
      </c>
      <c r="B66" s="2" t="inlineStr">
        <is>
          <t>Upgrade_Luck</t>
        </is>
      </c>
      <c r="C66" s="2" t="inlineStr">
        <is>
          <t>幸运强化-稀有</t>
        </is>
      </c>
      <c r="D66" s="2" t="inlineStr">
        <is>
          <t>经济</t>
        </is>
      </c>
      <c r="E66" s="2" t="inlineStr">
        <is>
          <t>Rare</t>
        </is>
      </c>
      <c r="F66" s="2" t="inlineStr">
        <is>
          <t>Luck</t>
        </is>
      </c>
      <c r="G66" s="3" t="n">
        <v>8</v>
      </c>
      <c r="H66" s="3" t="n">
        <v>160</v>
      </c>
      <c r="I66" s="3" t="n">
        <v>1</v>
      </c>
      <c r="J66" s="2">
        <f>H66*I66</f>
        <v/>
      </c>
      <c r="K66" s="3" t="n">
        <v>150</v>
      </c>
      <c r="L66" s="2">
        <f>J66-K66</f>
        <v/>
      </c>
      <c r="M66" s="2" t="inlineStr">
        <is>
          <t>1+</t>
        </is>
      </c>
      <c r="N66" s="3" t="n">
        <v>35</v>
      </c>
      <c r="O66" s="3" t="n">
        <v>0.9</v>
      </c>
      <c r="P66" s="2" t="inlineStr">
        <is>
          <t>可重复</t>
        </is>
      </c>
      <c r="Q66" s="2" t="inlineStr">
        <is>
          <t>同时影响商店和奖励入口，权重保守。</t>
        </is>
      </c>
    </row>
    <row r="67">
      <c r="A67" s="2" t="inlineStr">
        <is>
          <t>Upgrade_Luck_Epic</t>
        </is>
      </c>
      <c r="B67" s="2" t="inlineStr">
        <is>
          <t>Upgrade_Luck</t>
        </is>
      </c>
      <c r="C67" s="2" t="inlineStr">
        <is>
          <t>幸运强化-史诗</t>
        </is>
      </c>
      <c r="D67" s="2" t="inlineStr">
        <is>
          <t>经济</t>
        </is>
      </c>
      <c r="E67" s="2" t="inlineStr">
        <is>
          <t>Epic</t>
        </is>
      </c>
      <c r="F67" s="2" t="inlineStr">
        <is>
          <t>Luck</t>
        </is>
      </c>
      <c r="G67" s="3" t="n">
        <v>11</v>
      </c>
      <c r="H67" s="3" t="n">
        <v>220</v>
      </c>
      <c r="I67" s="3" t="n">
        <v>1</v>
      </c>
      <c r="J67" s="2">
        <f>H67*I67</f>
        <v/>
      </c>
      <c r="K67" s="3" t="n">
        <v>225</v>
      </c>
      <c r="L67" s="2">
        <f>J67-K67</f>
        <v/>
      </c>
      <c r="M67" s="2" t="inlineStr">
        <is>
          <t>1+</t>
        </is>
      </c>
      <c r="N67" s="3" t="n">
        <v>35</v>
      </c>
      <c r="O67" s="3" t="n">
        <v>0.9</v>
      </c>
      <c r="P67" s="2" t="inlineStr">
        <is>
          <t>可重复</t>
        </is>
      </c>
      <c r="Q67" s="2" t="inlineStr">
        <is>
          <t>同时影响商店和奖励入口，权重保守。</t>
        </is>
      </c>
    </row>
    <row r="68">
      <c r="A68" s="2" t="inlineStr">
        <is>
          <t>Upgrade_Luck_Legendary</t>
        </is>
      </c>
      <c r="B68" s="2" t="inlineStr">
        <is>
          <t>Upgrade_Luck</t>
        </is>
      </c>
      <c r="C68" s="2" t="inlineStr">
        <is>
          <t>幸运强化-传说</t>
        </is>
      </c>
      <c r="D68" s="2" t="inlineStr">
        <is>
          <t>经济</t>
        </is>
      </c>
      <c r="E68" s="2" t="inlineStr">
        <is>
          <t>Legendary</t>
        </is>
      </c>
      <c r="F68" s="2" t="inlineStr">
        <is>
          <t>Luck</t>
        </is>
      </c>
      <c r="G68" s="3" t="n">
        <v>17</v>
      </c>
      <c r="H68" s="3" t="n">
        <v>340</v>
      </c>
      <c r="I68" s="3" t="n">
        <v>1</v>
      </c>
      <c r="J68" s="2">
        <f>H68*I68</f>
        <v/>
      </c>
      <c r="K68" s="3" t="n">
        <v>350</v>
      </c>
      <c r="L68" s="2">
        <f>J68-K68</f>
        <v/>
      </c>
      <c r="M68" s="2" t="inlineStr">
        <is>
          <t>1+</t>
        </is>
      </c>
      <c r="N68" s="3" t="n">
        <v>35</v>
      </c>
      <c r="O68" s="3" t="n">
        <v>0.9</v>
      </c>
      <c r="P68" s="2" t="inlineStr">
        <is>
          <t>可重复</t>
        </is>
      </c>
      <c r="Q68" s="2" t="inlineStr">
        <is>
          <t>同时影响商店和奖励入口，权重保守。</t>
        </is>
      </c>
    </row>
    <row r="69">
      <c r="A69" s="2" t="inlineStr">
        <is>
          <t>Upgrade_ExperienceGain_Common</t>
        </is>
      </c>
      <c r="B69" s="2" t="inlineStr">
        <is>
          <t>Upgrade_ExperienceGain</t>
        </is>
      </c>
      <c r="C69" s="2" t="inlineStr">
        <is>
          <t>经验强化-普通</t>
        </is>
      </c>
      <c r="D69" s="2" t="inlineStr">
        <is>
          <t>经济</t>
        </is>
      </c>
      <c r="E69" s="2" t="inlineStr">
        <is>
          <t>Common</t>
        </is>
      </c>
      <c r="F69" s="2" t="inlineStr">
        <is>
          <t>ExperienceGain</t>
        </is>
      </c>
      <c r="G69" s="3" t="n">
        <v>7</v>
      </c>
      <c r="H69" s="3" t="n">
        <v>105</v>
      </c>
      <c r="I69" s="3" t="n">
        <v>1</v>
      </c>
      <c r="J69" s="2">
        <f>H69*I69</f>
        <v/>
      </c>
      <c r="K69" s="3" t="n">
        <v>100</v>
      </c>
      <c r="L69" s="2">
        <f>J69-K69</f>
        <v/>
      </c>
      <c r="M69" s="2" t="inlineStr">
        <is>
          <t>1-12</t>
        </is>
      </c>
      <c r="N69" s="3" t="n">
        <v>30</v>
      </c>
      <c r="O69" s="3" t="n">
        <v>0.8</v>
      </c>
      <c r="P69" s="2" t="inlineStr">
        <is>
          <t>可重复</t>
        </is>
      </c>
      <c r="Q69" s="2" t="inlineStr">
        <is>
          <t>早拿强、晚拿弱；12 波后不再进入普通升级池。</t>
        </is>
      </c>
    </row>
    <row r="70">
      <c r="A70" s="2" t="inlineStr">
        <is>
          <t>Upgrade_ExperienceGain_Rare</t>
        </is>
      </c>
      <c r="B70" s="2" t="inlineStr">
        <is>
          <t>Upgrade_ExperienceGain</t>
        </is>
      </c>
      <c r="C70" s="2" t="inlineStr">
        <is>
          <t>经验强化-稀有</t>
        </is>
      </c>
      <c r="D70" s="2" t="inlineStr">
        <is>
          <t>经济</t>
        </is>
      </c>
      <c r="E70" s="2" t="inlineStr">
        <is>
          <t>Rare</t>
        </is>
      </c>
      <c r="F70" s="2" t="inlineStr">
        <is>
          <t>ExperienceGain</t>
        </is>
      </c>
      <c r="G70" s="3" t="n">
        <v>10</v>
      </c>
      <c r="H70" s="3" t="n">
        <v>150</v>
      </c>
      <c r="I70" s="3" t="n">
        <v>1</v>
      </c>
      <c r="J70" s="2">
        <f>H70*I70</f>
        <v/>
      </c>
      <c r="K70" s="3" t="n">
        <v>150</v>
      </c>
      <c r="L70" s="2">
        <f>J70-K70</f>
        <v/>
      </c>
      <c r="M70" s="2" t="inlineStr">
        <is>
          <t>1-12</t>
        </is>
      </c>
      <c r="N70" s="3" t="n">
        <v>30</v>
      </c>
      <c r="O70" s="3" t="n">
        <v>0.8</v>
      </c>
      <c r="P70" s="2" t="inlineStr">
        <is>
          <t>可重复</t>
        </is>
      </c>
      <c r="Q70" s="2" t="inlineStr">
        <is>
          <t>早拿强、晚拿弱；12 波后不再进入普通升级池。</t>
        </is>
      </c>
    </row>
    <row r="71">
      <c r="A71" s="2" t="inlineStr">
        <is>
          <t>Upgrade_ExperienceGain_Epic</t>
        </is>
      </c>
      <c r="B71" s="2" t="inlineStr">
        <is>
          <t>Upgrade_ExperienceGain</t>
        </is>
      </c>
      <c r="C71" s="2" t="inlineStr">
        <is>
          <t>经验强化-史诗</t>
        </is>
      </c>
      <c r="D71" s="2" t="inlineStr">
        <is>
          <t>经济</t>
        </is>
      </c>
      <c r="E71" s="2" t="inlineStr">
        <is>
          <t>Epic</t>
        </is>
      </c>
      <c r="F71" s="2" t="inlineStr">
        <is>
          <t>ExperienceGain</t>
        </is>
      </c>
      <c r="G71" s="3" t="n">
        <v>15</v>
      </c>
      <c r="H71" s="3" t="n">
        <v>225</v>
      </c>
      <c r="I71" s="3" t="n">
        <v>1</v>
      </c>
      <c r="J71" s="2">
        <f>H71*I71</f>
        <v/>
      </c>
      <c r="K71" s="3" t="n">
        <v>225</v>
      </c>
      <c r="L71" s="2">
        <f>J71-K71</f>
        <v/>
      </c>
      <c r="M71" s="2" t="inlineStr">
        <is>
          <t>1-12</t>
        </is>
      </c>
      <c r="N71" s="3" t="n">
        <v>30</v>
      </c>
      <c r="O71" s="3" t="n">
        <v>0.8</v>
      </c>
      <c r="P71" s="2" t="inlineStr">
        <is>
          <t>可重复</t>
        </is>
      </c>
      <c r="Q71" s="2" t="inlineStr">
        <is>
          <t>早拿强、晚拿弱；12 波后不再进入普通升级池。</t>
        </is>
      </c>
    </row>
    <row r="72">
      <c r="A72" s="2" t="inlineStr">
        <is>
          <t>Upgrade_ExperienceGain_Legendary</t>
        </is>
      </c>
      <c r="B72" s="2" t="inlineStr">
        <is>
          <t>Upgrade_ExperienceGain</t>
        </is>
      </c>
      <c r="C72" s="2" t="inlineStr">
        <is>
          <t>经验强化-传说</t>
        </is>
      </c>
      <c r="D72" s="2" t="inlineStr">
        <is>
          <t>经济</t>
        </is>
      </c>
      <c r="E72" s="2" t="inlineStr">
        <is>
          <t>Legendary</t>
        </is>
      </c>
      <c r="F72" s="2" t="inlineStr">
        <is>
          <t>ExperienceGain</t>
        </is>
      </c>
      <c r="G72" s="3" t="n">
        <v>23</v>
      </c>
      <c r="H72" s="3" t="n">
        <v>345</v>
      </c>
      <c r="I72" s="3" t="n">
        <v>1</v>
      </c>
      <c r="J72" s="2">
        <f>H72*I72</f>
        <v/>
      </c>
      <c r="K72" s="3" t="n">
        <v>350</v>
      </c>
      <c r="L72" s="2">
        <f>J72-K72</f>
        <v/>
      </c>
      <c r="M72" s="2" t="inlineStr">
        <is>
          <t>1-12</t>
        </is>
      </c>
      <c r="N72" s="3" t="n">
        <v>30</v>
      </c>
      <c r="O72" s="3" t="n">
        <v>0.8</v>
      </c>
      <c r="P72" s="2" t="inlineStr">
        <is>
          <t>可重复</t>
        </is>
      </c>
      <c r="Q72" s="2" t="inlineStr">
        <is>
          <t>早拿强、晚拿弱；12 波后不再进入普通升级池。</t>
        </is>
      </c>
    </row>
    <row r="73">
      <c r="A73" s="2" t="inlineStr">
        <is>
          <t>Upgrade_ShopDiscount_Common</t>
        </is>
      </c>
      <c r="B73" s="2" t="inlineStr">
        <is>
          <t>Upgrade_ShopDiscount</t>
        </is>
      </c>
      <c r="C73" s="2" t="inlineStr">
        <is>
          <t>商店折扣强化-普通</t>
        </is>
      </c>
      <c r="D73" s="2" t="inlineStr">
        <is>
          <t>经济</t>
        </is>
      </c>
      <c r="E73" s="2" t="inlineStr">
        <is>
          <t>Common</t>
        </is>
      </c>
      <c r="F73" s="2" t="inlineStr">
        <is>
          <t>ShopPriceDiscount</t>
        </is>
      </c>
      <c r="G73" s="3" t="n">
        <v>7</v>
      </c>
      <c r="H73" s="3" t="n">
        <v>105</v>
      </c>
      <c r="I73" s="3" t="n">
        <v>1</v>
      </c>
      <c r="J73" s="2">
        <f>H73*I73</f>
        <v/>
      </c>
      <c r="K73" s="3" t="n">
        <v>100</v>
      </c>
      <c r="L73" s="2">
        <f>J73-K73</f>
        <v/>
      </c>
      <c r="M73" s="2" t="inlineStr">
        <is>
          <t>1-15</t>
        </is>
      </c>
      <c r="N73" s="3" t="n">
        <v>25</v>
      </c>
      <c r="O73" s="3" t="n">
        <v>0.8</v>
      </c>
      <c r="P73" s="2" t="inlineStr">
        <is>
          <t>可重复</t>
        </is>
      </c>
      <c r="Q73" s="2" t="inlineStr">
        <is>
          <t>受 50% 有效折扣上限限制，重复后边际下降。</t>
        </is>
      </c>
    </row>
    <row r="74">
      <c r="A74" s="2" t="inlineStr">
        <is>
          <t>Upgrade_ShopDiscount_Rare</t>
        </is>
      </c>
      <c r="B74" s="2" t="inlineStr">
        <is>
          <t>Upgrade_ShopDiscount</t>
        </is>
      </c>
      <c r="C74" s="2" t="inlineStr">
        <is>
          <t>商店折扣强化-稀有</t>
        </is>
      </c>
      <c r="D74" s="2" t="inlineStr">
        <is>
          <t>经济</t>
        </is>
      </c>
      <c r="E74" s="2" t="inlineStr">
        <is>
          <t>Rare</t>
        </is>
      </c>
      <c r="F74" s="2" t="inlineStr">
        <is>
          <t>ShopPriceDiscount</t>
        </is>
      </c>
      <c r="G74" s="3" t="n">
        <v>10</v>
      </c>
      <c r="H74" s="3" t="n">
        <v>150</v>
      </c>
      <c r="I74" s="3" t="n">
        <v>1</v>
      </c>
      <c r="J74" s="2">
        <f>H74*I74</f>
        <v/>
      </c>
      <c r="K74" s="3" t="n">
        <v>150</v>
      </c>
      <c r="L74" s="2">
        <f>J74-K74</f>
        <v/>
      </c>
      <c r="M74" s="2" t="inlineStr">
        <is>
          <t>1-15</t>
        </is>
      </c>
      <c r="N74" s="3" t="n">
        <v>25</v>
      </c>
      <c r="O74" s="3" t="n">
        <v>0.8</v>
      </c>
      <c r="P74" s="2" t="inlineStr">
        <is>
          <t>可重复</t>
        </is>
      </c>
      <c r="Q74" s="2" t="inlineStr">
        <is>
          <t>受 50% 有效折扣上限限制，重复后边际下降。</t>
        </is>
      </c>
    </row>
    <row r="75">
      <c r="A75" s="2" t="inlineStr">
        <is>
          <t>Upgrade_ShopDiscount_Epic</t>
        </is>
      </c>
      <c r="B75" s="2" t="inlineStr">
        <is>
          <t>Upgrade_ShopDiscount</t>
        </is>
      </c>
      <c r="C75" s="2" t="inlineStr">
        <is>
          <t>商店折扣强化-史诗</t>
        </is>
      </c>
      <c r="D75" s="2" t="inlineStr">
        <is>
          <t>经济</t>
        </is>
      </c>
      <c r="E75" s="2" t="inlineStr">
        <is>
          <t>Epic</t>
        </is>
      </c>
      <c r="F75" s="2" t="inlineStr">
        <is>
          <t>ShopPriceDiscount</t>
        </is>
      </c>
      <c r="G75" s="3" t="n">
        <v>15</v>
      </c>
      <c r="H75" s="3" t="n">
        <v>225</v>
      </c>
      <c r="I75" s="3" t="n">
        <v>1</v>
      </c>
      <c r="J75" s="2">
        <f>H75*I75</f>
        <v/>
      </c>
      <c r="K75" s="3" t="n">
        <v>225</v>
      </c>
      <c r="L75" s="2">
        <f>J75-K75</f>
        <v/>
      </c>
      <c r="M75" s="2" t="inlineStr">
        <is>
          <t>1-15</t>
        </is>
      </c>
      <c r="N75" s="3" t="n">
        <v>25</v>
      </c>
      <c r="O75" s="3" t="n">
        <v>0.8</v>
      </c>
      <c r="P75" s="2" t="inlineStr">
        <is>
          <t>可重复</t>
        </is>
      </c>
      <c r="Q75" s="2" t="inlineStr">
        <is>
          <t>受 50% 有效折扣上限限制，重复后边际下降。</t>
        </is>
      </c>
    </row>
    <row r="76">
      <c r="A76" s="2" t="inlineStr">
        <is>
          <t>Upgrade_ShopDiscount_Legendary</t>
        </is>
      </c>
      <c r="B76" s="2" t="inlineStr">
        <is>
          <t>Upgrade_ShopDiscount</t>
        </is>
      </c>
      <c r="C76" s="2" t="inlineStr">
        <is>
          <t>商店折扣强化-传说</t>
        </is>
      </c>
      <c r="D76" s="2" t="inlineStr">
        <is>
          <t>经济</t>
        </is>
      </c>
      <c r="E76" s="2" t="inlineStr">
        <is>
          <t>Legendary</t>
        </is>
      </c>
      <c r="F76" s="2" t="inlineStr">
        <is>
          <t>ShopPriceDiscount</t>
        </is>
      </c>
      <c r="G76" s="3" t="n">
        <v>23</v>
      </c>
      <c r="H76" s="3" t="n">
        <v>345</v>
      </c>
      <c r="I76" s="3" t="n">
        <v>1</v>
      </c>
      <c r="J76" s="2">
        <f>H76*I76</f>
        <v/>
      </c>
      <c r="K76" s="3" t="n">
        <v>350</v>
      </c>
      <c r="L76" s="2">
        <f>J76-K76</f>
        <v/>
      </c>
      <c r="M76" s="2" t="inlineStr">
        <is>
          <t>1-15</t>
        </is>
      </c>
      <c r="N76" s="3" t="n">
        <v>25</v>
      </c>
      <c r="O76" s="3" t="n">
        <v>0.8</v>
      </c>
      <c r="P76" s="2" t="inlineStr">
        <is>
          <t>可重复</t>
        </is>
      </c>
      <c r="Q76" s="2" t="inlineStr">
        <is>
          <t>受 50% 有效折扣上限限制，重复后边际下降。</t>
        </is>
      </c>
    </row>
    <row r="77">
      <c r="A77" s="2" t="inlineStr">
        <is>
          <t>Upgrade_WaveGoldBonus_Common</t>
        </is>
      </c>
      <c r="B77" s="2" t="inlineStr">
        <is>
          <t>Upgrade_WaveGoldBonus</t>
        </is>
      </c>
      <c r="C77" s="2" t="inlineStr">
        <is>
          <t>波次金币强化-普通</t>
        </is>
      </c>
      <c r="D77" s="2" t="inlineStr">
        <is>
          <t>经济</t>
        </is>
      </c>
      <c r="E77" s="2" t="inlineStr">
        <is>
          <t>Common</t>
        </is>
      </c>
      <c r="F77" s="2" t="inlineStr">
        <is>
          <t>WaveGoldRewardBonus</t>
        </is>
      </c>
      <c r="G77" s="3" t="n">
        <v>8</v>
      </c>
      <c r="H77" s="3" t="n">
        <v>100</v>
      </c>
      <c r="I77" s="3" t="n">
        <v>1</v>
      </c>
      <c r="J77" s="2">
        <f>H77*I77</f>
        <v/>
      </c>
      <c r="K77" s="3" t="n">
        <v>100</v>
      </c>
      <c r="L77" s="2">
        <f>J77-K77</f>
        <v/>
      </c>
      <c r="M77" s="2" t="inlineStr">
        <is>
          <t>1-10</t>
        </is>
      </c>
      <c r="N77" s="3" t="n">
        <v>25</v>
      </c>
      <c r="O77" s="3" t="n">
        <v>0.8</v>
      </c>
      <c r="P77" s="2" t="inlineStr">
        <is>
          <t>可重复</t>
        </is>
      </c>
      <c r="Q77" s="2" t="inlineStr">
        <is>
          <t>只适合前中期；10 波后价值明显下降。</t>
        </is>
      </c>
    </row>
    <row r="78">
      <c r="A78" s="2" t="inlineStr">
        <is>
          <t>Upgrade_WaveGoldBonus_Rare</t>
        </is>
      </c>
      <c r="B78" s="2" t="inlineStr">
        <is>
          <t>Upgrade_WaveGoldBonus</t>
        </is>
      </c>
      <c r="C78" s="2" t="inlineStr">
        <is>
          <t>波次金币强化-稀有</t>
        </is>
      </c>
      <c r="D78" s="2" t="inlineStr">
        <is>
          <t>经济</t>
        </is>
      </c>
      <c r="E78" s="2" t="inlineStr">
        <is>
          <t>Rare</t>
        </is>
      </c>
      <c r="F78" s="2" t="inlineStr">
        <is>
          <t>WaveGoldRewardBonus</t>
        </is>
      </c>
      <c r="G78" s="3" t="n">
        <v>12</v>
      </c>
      <c r="H78" s="3" t="n">
        <v>150</v>
      </c>
      <c r="I78" s="3" t="n">
        <v>1</v>
      </c>
      <c r="J78" s="2">
        <f>H78*I78</f>
        <v/>
      </c>
      <c r="K78" s="3" t="n">
        <v>150</v>
      </c>
      <c r="L78" s="2">
        <f>J78-K78</f>
        <v/>
      </c>
      <c r="M78" s="2" t="inlineStr">
        <is>
          <t>1-10</t>
        </is>
      </c>
      <c r="N78" s="3" t="n">
        <v>25</v>
      </c>
      <c r="O78" s="3" t="n">
        <v>0.8</v>
      </c>
      <c r="P78" s="2" t="inlineStr">
        <is>
          <t>可重复</t>
        </is>
      </c>
      <c r="Q78" s="2" t="inlineStr">
        <is>
          <t>只适合前中期；10 波后价值明显下降。</t>
        </is>
      </c>
    </row>
    <row r="79">
      <c r="A79" s="2" t="inlineStr">
        <is>
          <t>Upgrade_WaveGoldBonus_Epic</t>
        </is>
      </c>
      <c r="B79" s="2" t="inlineStr">
        <is>
          <t>Upgrade_WaveGoldBonus</t>
        </is>
      </c>
      <c r="C79" s="2" t="inlineStr">
        <is>
          <t>波次金币强化-史诗</t>
        </is>
      </c>
      <c r="D79" s="2" t="inlineStr">
        <is>
          <t>经济</t>
        </is>
      </c>
      <c r="E79" s="2" t="inlineStr">
        <is>
          <t>Epic</t>
        </is>
      </c>
      <c r="F79" s="2" t="inlineStr">
        <is>
          <t>WaveGoldRewardBonus</t>
        </is>
      </c>
      <c r="G79" s="3" t="n">
        <v>18</v>
      </c>
      <c r="H79" s="3" t="n">
        <v>225</v>
      </c>
      <c r="I79" s="3" t="n">
        <v>1</v>
      </c>
      <c r="J79" s="2">
        <f>H79*I79</f>
        <v/>
      </c>
      <c r="K79" s="3" t="n">
        <v>225</v>
      </c>
      <c r="L79" s="2">
        <f>J79-K79</f>
        <v/>
      </c>
      <c r="M79" s="2" t="inlineStr">
        <is>
          <t>1-10</t>
        </is>
      </c>
      <c r="N79" s="3" t="n">
        <v>25</v>
      </c>
      <c r="O79" s="3" t="n">
        <v>0.8</v>
      </c>
      <c r="P79" s="2" t="inlineStr">
        <is>
          <t>可重复</t>
        </is>
      </c>
      <c r="Q79" s="2" t="inlineStr">
        <is>
          <t>只适合前中期；10 波后价值明显下降。</t>
        </is>
      </c>
    </row>
    <row r="80">
      <c r="A80" s="2" t="inlineStr">
        <is>
          <t>Upgrade_WaveGoldBonus_Legendary</t>
        </is>
      </c>
      <c r="B80" s="2" t="inlineStr">
        <is>
          <t>Upgrade_WaveGoldBonus</t>
        </is>
      </c>
      <c r="C80" s="2" t="inlineStr">
        <is>
          <t>波次金币强化-传说</t>
        </is>
      </c>
      <c r="D80" s="2" t="inlineStr">
        <is>
          <t>经济</t>
        </is>
      </c>
      <c r="E80" s="2" t="inlineStr">
        <is>
          <t>Legendary</t>
        </is>
      </c>
      <c r="F80" s="2" t="inlineStr">
        <is>
          <t>WaveGoldRewardBonus</t>
        </is>
      </c>
      <c r="G80" s="3" t="n">
        <v>28</v>
      </c>
      <c r="H80" s="3" t="n">
        <v>350</v>
      </c>
      <c r="I80" s="3" t="n">
        <v>1</v>
      </c>
      <c r="J80" s="2">
        <f>H80*I80</f>
        <v/>
      </c>
      <c r="K80" s="3" t="n">
        <v>350</v>
      </c>
      <c r="L80" s="2">
        <f>J80-K80</f>
        <v/>
      </c>
      <c r="M80" s="2" t="inlineStr">
        <is>
          <t>1-10</t>
        </is>
      </c>
      <c r="N80" s="3" t="n">
        <v>25</v>
      </c>
      <c r="O80" s="3" t="n">
        <v>0.8</v>
      </c>
      <c r="P80" s="2" t="inlineStr">
        <is>
          <t>可重复</t>
        </is>
      </c>
      <c r="Q80" s="2" t="inlineStr">
        <is>
          <t>只适合前中期；10 波后价值明显下降。</t>
        </is>
      </c>
    </row>
  </sheetData>
  <dataValidations count="2">
    <dataValidation sqref="E2:E80" showErrorMessage="1" showInputMessage="1" allowBlank="0" type="list">
      <formula1>"Common,Rare,Epic,Legendary"</formula1>
    </dataValidation>
    <dataValidation sqref="D2:D80" showErrorMessage="1" showInputMessage="1" allowBlank="0" type="list">
      <formula1>"输出,生存,机动,拾取,经济,其他"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9" customWidth="1" min="13" max="13"/>
    <col width="10" customWidth="1" min="14" max="14"/>
    <col width="13" customWidth="1" min="15" max="15"/>
    <col width="10" customWidth="1" min="16" max="16"/>
    <col width="10" customWidth="1" min="17" max="17"/>
    <col width="22" customWidth="1" min="18" max="18"/>
  </cols>
  <sheetData>
    <row r="1" ht="30" customHeight="1">
      <c r="A1" s="1" t="inlineStr">
        <is>
          <t>饰品ID</t>
        </is>
      </c>
      <c r="B1" s="1" t="inlineStr">
        <is>
          <t>名称</t>
        </is>
      </c>
      <c r="C1" s="1" t="inlineStr">
        <is>
          <t>品质</t>
        </is>
      </c>
      <c r="D1" s="1" t="inlineStr">
        <is>
          <t>定位</t>
        </is>
      </c>
      <c r="E1" s="1" t="inlineStr">
        <is>
          <t>正向属性/机制</t>
        </is>
      </c>
      <c r="F1" s="1" t="inlineStr">
        <is>
          <t>正向BP</t>
        </is>
      </c>
      <c r="G1" s="1" t="inlineStr">
        <is>
          <t>负向回收BP</t>
        </is>
      </c>
      <c r="H1" s="1" t="inlineStr">
        <is>
          <t>机制BP</t>
        </is>
      </c>
      <c r="I1" s="1" t="inlineStr">
        <is>
          <t>生存衰减</t>
        </is>
      </c>
      <c r="J1" s="1" t="inlineStr">
        <is>
          <t>最终BP</t>
        </is>
      </c>
      <c r="K1" s="1" t="inlineStr">
        <is>
          <t>参考价</t>
        </is>
      </c>
      <c r="L1" s="1" t="inlineStr">
        <is>
          <t>实际价</t>
        </is>
      </c>
      <c r="M1" s="1" t="inlineStr">
        <is>
          <t>回收价</t>
        </is>
      </c>
      <c r="N1" s="1" t="inlineStr">
        <is>
          <t>重复口径</t>
        </is>
      </c>
      <c r="O1" s="1" t="inlineStr">
        <is>
          <t>入口</t>
        </is>
      </c>
      <c r="P1" s="1" t="inlineStr">
        <is>
          <t>开放波次</t>
        </is>
      </c>
      <c r="Q1" s="1" t="inlineStr">
        <is>
          <t>基础权重</t>
        </is>
      </c>
      <c r="R1" s="1" t="inlineStr">
        <is>
          <t>备注</t>
        </is>
      </c>
    </row>
    <row r="2">
      <c r="A2" s="2" t="inlineStr">
        <is>
          <t>Accessory_C_DamageCharm</t>
        </is>
      </c>
      <c r="B2" s="2" t="inlineStr">
        <is>
          <t>磨损力量护符</t>
        </is>
      </c>
      <c r="C2" s="2" t="inlineStr">
        <is>
          <t>Common</t>
        </is>
      </c>
      <c r="D2" s="2" t="inlineStr">
        <is>
          <t>通用输出</t>
        </is>
      </c>
      <c r="E2" s="2" t="inlineStr">
        <is>
          <t>Damage +5</t>
        </is>
      </c>
      <c r="F2" s="3" t="n">
        <v>100</v>
      </c>
      <c r="G2" s="3" t="n">
        <v>0</v>
      </c>
      <c r="H2" s="3" t="n">
        <v>0</v>
      </c>
      <c r="I2" s="2" t="inlineStr"/>
      <c r="J2" s="3" t="n">
        <v>100</v>
      </c>
      <c r="K2" s="2">
        <f>ROUND(J2/4,0)</f>
        <v/>
      </c>
      <c r="L2" s="2">
        <f>K2</f>
        <v/>
      </c>
      <c r="M2" s="2">
        <f>ROUND(L2*0.3,0)</f>
        <v/>
      </c>
      <c r="N2" s="2" t="inlineStr">
        <is>
          <t>可重复</t>
        </is>
      </c>
      <c r="O2" s="2" t="inlineStr">
        <is>
          <t>商店</t>
        </is>
      </c>
      <c r="P2" s="2" t="inlineStr">
        <is>
          <t>1+</t>
        </is>
      </c>
      <c r="Q2" s="3" t="n">
        <v>100</v>
      </c>
      <c r="R2" s="2" t="inlineStr">
        <is>
          <t>最基础输出饰品。</t>
        </is>
      </c>
    </row>
    <row r="3">
      <c r="A3" s="2" t="inlineStr">
        <is>
          <t>Accessory_C_LightTrigger</t>
        </is>
      </c>
      <c r="B3" s="2" t="inlineStr">
        <is>
          <t>轻型扳机</t>
        </is>
      </c>
      <c r="C3" s="2" t="inlineStr">
        <is>
          <t>Common</t>
        </is>
      </c>
      <c r="D3" s="2" t="inlineStr">
        <is>
          <t>攻速</t>
        </is>
      </c>
      <c r="E3" s="2" t="inlineStr">
        <is>
          <t>AttackSpeed +5</t>
        </is>
      </c>
      <c r="F3" s="3" t="n">
        <v>100</v>
      </c>
      <c r="G3" s="3" t="n">
        <v>0</v>
      </c>
      <c r="H3" s="3" t="n">
        <v>0</v>
      </c>
      <c r="I3" s="2" t="inlineStr"/>
      <c r="J3" s="3" t="n">
        <v>100</v>
      </c>
      <c r="K3" s="2">
        <f>ROUND(J3/4,0)</f>
        <v/>
      </c>
      <c r="L3" s="2">
        <f>K3</f>
        <v/>
      </c>
      <c r="M3" s="2">
        <f>ROUND(L3*0.3,0)</f>
        <v/>
      </c>
      <c r="N3" s="2" t="inlineStr">
        <is>
          <t>可重复</t>
        </is>
      </c>
      <c r="O3" s="2" t="inlineStr">
        <is>
          <t>商店</t>
        </is>
      </c>
      <c r="P3" s="2" t="inlineStr">
        <is>
          <t>1+</t>
        </is>
      </c>
      <c r="Q3" s="3" t="n">
        <v>100</v>
      </c>
      <c r="R3" s="2" t="inlineStr">
        <is>
          <t>高频武器收益受武器收益率限制。</t>
        </is>
      </c>
    </row>
    <row r="4">
      <c r="A4" s="2" t="inlineStr">
        <is>
          <t>Accessory_C_PaddedVest</t>
        </is>
      </c>
      <c r="B4" s="2" t="inlineStr">
        <is>
          <t>厚实护垫</t>
        </is>
      </c>
      <c r="C4" s="2" t="inlineStr">
        <is>
          <t>Common</t>
        </is>
      </c>
      <c r="D4" s="2" t="inlineStr">
        <is>
          <t>生命</t>
        </is>
      </c>
      <c r="E4" s="2" t="inlineStr">
        <is>
          <t>MaxHealth +18</t>
        </is>
      </c>
      <c r="F4" s="3" t="n">
        <v>90</v>
      </c>
      <c r="G4" s="3" t="n">
        <v>0</v>
      </c>
      <c r="H4" s="3" t="n">
        <v>0</v>
      </c>
      <c r="I4" s="2" t="inlineStr"/>
      <c r="J4" s="3" t="n">
        <v>90</v>
      </c>
      <c r="K4" s="2">
        <f>ROUND(J4/4,0)</f>
        <v/>
      </c>
      <c r="L4" s="2">
        <f>K4</f>
        <v/>
      </c>
      <c r="M4" s="2">
        <f>ROUND(L4*0.3,0)</f>
        <v/>
      </c>
      <c r="N4" s="2" t="inlineStr">
        <is>
          <t>可重复</t>
        </is>
      </c>
      <c r="O4" s="2" t="inlineStr">
        <is>
          <t>商店</t>
        </is>
      </c>
      <c r="P4" s="2" t="inlineStr">
        <is>
          <t>1+</t>
        </is>
      </c>
      <c r="Q4" s="3" t="n">
        <v>95</v>
      </c>
      <c r="R4" s="2" t="inlineStr">
        <is>
          <t>低价生存入口。</t>
        </is>
      </c>
    </row>
    <row r="5">
      <c r="A5" s="2" t="inlineStr">
        <is>
          <t>Accessory_C_FirstAidKit</t>
        </is>
      </c>
      <c r="B5" s="2" t="inlineStr">
        <is>
          <t>简易药包</t>
        </is>
      </c>
      <c r="C5" s="2" t="inlineStr">
        <is>
          <t>Common</t>
        </is>
      </c>
      <c r="D5" s="2" t="inlineStr">
        <is>
          <t>回复</t>
        </is>
      </c>
      <c r="E5" s="2" t="inlineStr">
        <is>
          <t>HealthRecoverySpeed +8</t>
        </is>
      </c>
      <c r="F5" s="3" t="n">
        <v>80</v>
      </c>
      <c r="G5" s="3" t="n">
        <v>0</v>
      </c>
      <c r="H5" s="3" t="n">
        <v>0</v>
      </c>
      <c r="I5" s="2" t="inlineStr"/>
      <c r="J5" s="3" t="n">
        <v>80</v>
      </c>
      <c r="K5" s="2">
        <f>ROUND(J5/4,0)</f>
        <v/>
      </c>
      <c r="L5" s="2">
        <f>K5</f>
        <v/>
      </c>
      <c r="M5" s="2">
        <f>ROUND(L5*0.3,0)</f>
        <v/>
      </c>
      <c r="N5" s="2" t="inlineStr">
        <is>
          <t>可重复</t>
        </is>
      </c>
      <c r="O5" s="2" t="inlineStr">
        <is>
          <t>商店</t>
        </is>
      </c>
      <c r="P5" s="2" t="inlineStr">
        <is>
          <t>1+</t>
        </is>
      </c>
      <c r="Q5" s="3" t="n">
        <v>80</v>
      </c>
      <c r="R5" s="2" t="inlineStr">
        <is>
          <t>回复体感强，Common 档不取满预算。</t>
        </is>
      </c>
    </row>
    <row r="6">
      <c r="A6" s="2" t="inlineStr">
        <is>
          <t>Accessory_C_SpringLace</t>
        </is>
      </c>
      <c r="B6" s="2" t="inlineStr">
        <is>
          <t>弹簧鞋带</t>
        </is>
      </c>
      <c r="C6" s="2" t="inlineStr">
        <is>
          <t>Common</t>
        </is>
      </c>
      <c r="D6" s="2" t="inlineStr">
        <is>
          <t>机动</t>
        </is>
      </c>
      <c r="E6" s="2" t="inlineStr">
        <is>
          <t>MoveSpeed +8</t>
        </is>
      </c>
      <c r="F6" s="3" t="n">
        <v>80</v>
      </c>
      <c r="G6" s="3" t="n">
        <v>0</v>
      </c>
      <c r="H6" s="3" t="n">
        <v>0</v>
      </c>
      <c r="I6" s="2" t="inlineStr"/>
      <c r="J6" s="3" t="n">
        <v>80</v>
      </c>
      <c r="K6" s="2">
        <f>ROUND(J6/4,0)</f>
        <v/>
      </c>
      <c r="L6" s="2">
        <f>K6</f>
        <v/>
      </c>
      <c r="M6" s="2">
        <f>ROUND(L6*0.3,0)</f>
        <v/>
      </c>
      <c r="N6" s="2" t="inlineStr">
        <is>
          <t>可重复</t>
        </is>
      </c>
      <c r="O6" s="2" t="inlineStr">
        <is>
          <t>商店</t>
        </is>
      </c>
      <c r="P6" s="2" t="inlineStr">
        <is>
          <t>1+</t>
        </is>
      </c>
      <c r="Q6" s="3" t="n">
        <v>80</v>
      </c>
      <c r="R6" s="2" t="inlineStr">
        <is>
          <t>手感属性，低档投放。</t>
        </is>
      </c>
    </row>
    <row r="7">
      <c r="A7" s="2" t="inlineStr">
        <is>
          <t>Accessory_C_MagnetRing</t>
        </is>
      </c>
      <c r="B7" s="2" t="inlineStr">
        <is>
          <t>拾取磁环</t>
        </is>
      </c>
      <c r="C7" s="2" t="inlineStr">
        <is>
          <t>Common</t>
        </is>
      </c>
      <c r="D7" s="2" t="inlineStr">
        <is>
          <t>拾取</t>
        </is>
      </c>
      <c r="E7" s="2" t="inlineStr">
        <is>
          <t>PickupRadius +18</t>
        </is>
      </c>
      <c r="F7" s="3" t="n">
        <v>90</v>
      </c>
      <c r="G7" s="3" t="n">
        <v>0</v>
      </c>
      <c r="H7" s="3" t="n">
        <v>0</v>
      </c>
      <c r="I7" s="2" t="inlineStr"/>
      <c r="J7" s="3" t="n">
        <v>90</v>
      </c>
      <c r="K7" s="2">
        <f>ROUND(J7/4,0)</f>
        <v/>
      </c>
      <c r="L7" s="2">
        <f>K7</f>
        <v/>
      </c>
      <c r="M7" s="2">
        <f>ROUND(L7*0.3,0)</f>
        <v/>
      </c>
      <c r="N7" s="2" t="inlineStr">
        <is>
          <t>可重复</t>
        </is>
      </c>
      <c r="O7" s="2" t="inlineStr">
        <is>
          <t>商店</t>
        </is>
      </c>
      <c r="P7" s="2" t="inlineStr">
        <is>
          <t>1+</t>
        </is>
      </c>
      <c r="Q7" s="3" t="n">
        <v>75</v>
      </c>
      <c r="R7" s="2" t="inlineStr">
        <is>
          <t>不直接提高战斗力，价格略低。</t>
        </is>
      </c>
    </row>
    <row r="8">
      <c r="A8" s="2" t="inlineStr">
        <is>
          <t>Accessory_C_LuckyCoin</t>
        </is>
      </c>
      <c r="B8" s="2" t="inlineStr">
        <is>
          <t>旧幸运币</t>
        </is>
      </c>
      <c r="C8" s="2" t="inlineStr">
        <is>
          <t>Common</t>
        </is>
      </c>
      <c r="D8" s="2" t="inlineStr">
        <is>
          <t>幸运</t>
        </is>
      </c>
      <c r="E8" s="2" t="inlineStr">
        <is>
          <t>Luck +5</t>
        </is>
      </c>
      <c r="F8" s="3" t="n">
        <v>100</v>
      </c>
      <c r="G8" s="3" t="n">
        <v>0</v>
      </c>
      <c r="H8" s="3" t="n">
        <v>0</v>
      </c>
      <c r="I8" s="2" t="inlineStr"/>
      <c r="J8" s="3" t="n">
        <v>100</v>
      </c>
      <c r="K8" s="2">
        <f>ROUND(J8/4,0)</f>
        <v/>
      </c>
      <c r="L8" s="2">
        <f>K8</f>
        <v/>
      </c>
      <c r="M8" s="2">
        <f>ROUND(L8*0.3,0)</f>
        <v/>
      </c>
      <c r="N8" s="2" t="inlineStr">
        <is>
          <t>可重复</t>
        </is>
      </c>
      <c r="O8" s="2" t="inlineStr">
        <is>
          <t>商店</t>
        </is>
      </c>
      <c r="P8" s="2" t="inlineStr">
        <is>
          <t>1+</t>
        </is>
      </c>
      <c r="Q8" s="3" t="n">
        <v>45</v>
      </c>
      <c r="R8" s="2" t="inlineStr">
        <is>
          <t>经济入口，权重保守。</t>
        </is>
      </c>
    </row>
    <row r="9">
      <c r="A9" s="2" t="inlineStr">
        <is>
          <t>Accessory_C_ShortScope</t>
        </is>
      </c>
      <c r="B9" s="2" t="inlineStr">
        <is>
          <t>短距瞄具</t>
        </is>
      </c>
      <c r="C9" s="2" t="inlineStr">
        <is>
          <t>Common</t>
        </is>
      </c>
      <c r="D9" s="2" t="inlineStr">
        <is>
          <t>范围</t>
        </is>
      </c>
      <c r="E9" s="2" t="inlineStr">
        <is>
          <t>AttackRange +12</t>
        </is>
      </c>
      <c r="F9" s="3" t="n">
        <v>96</v>
      </c>
      <c r="G9" s="3" t="n">
        <v>0</v>
      </c>
      <c r="H9" s="3" t="n">
        <v>0</v>
      </c>
      <c r="I9" s="2" t="inlineStr"/>
      <c r="J9" s="3" t="n">
        <v>96</v>
      </c>
      <c r="K9" s="2">
        <f>ROUND(J9/4,0)</f>
        <v/>
      </c>
      <c r="L9" s="2">
        <f>K9</f>
        <v/>
      </c>
      <c r="M9" s="2">
        <f>ROUND(L9*0.3,0)</f>
        <v/>
      </c>
      <c r="N9" s="2" t="inlineStr">
        <is>
          <t>可重复</t>
        </is>
      </c>
      <c r="O9" s="2" t="inlineStr">
        <is>
          <t>商店</t>
        </is>
      </c>
      <c r="P9" s="2" t="inlineStr">
        <is>
          <t>1+</t>
        </is>
      </c>
      <c r="Q9" s="3" t="n">
        <v>70</v>
      </c>
      <c r="R9" s="2" t="inlineStr">
        <is>
          <t>影响安全距离和命中覆盖。</t>
        </is>
      </c>
    </row>
    <row r="10">
      <c r="A10" s="2" t="inlineStr">
        <is>
          <t>Accessory_R_TacticalCore</t>
        </is>
      </c>
      <c r="B10" s="2" t="inlineStr">
        <is>
          <t>战术核心</t>
        </is>
      </c>
      <c r="C10" s="2" t="inlineStr">
        <is>
          <t>Rare</t>
        </is>
      </c>
      <c r="D10" s="2" t="inlineStr">
        <is>
          <t>通用攻击</t>
        </is>
      </c>
      <c r="E10" s="2" t="inlineStr">
        <is>
          <t>Attack +3</t>
        </is>
      </c>
      <c r="F10" s="3" t="n">
        <v>120</v>
      </c>
      <c r="G10" s="3" t="n">
        <v>0</v>
      </c>
      <c r="H10" s="3" t="n">
        <v>0</v>
      </c>
      <c r="I10" s="2" t="inlineStr"/>
      <c r="J10" s="3" t="n">
        <v>120</v>
      </c>
      <c r="K10" s="2">
        <f>ROUND(J10/4,0)</f>
        <v/>
      </c>
      <c r="L10" s="2">
        <f>K10</f>
        <v/>
      </c>
      <c r="M10" s="2">
        <f>ROUND(L10*0.3,0)</f>
        <v/>
      </c>
      <c r="N10" s="2" t="inlineStr">
        <is>
          <t>可重复</t>
        </is>
      </c>
      <c r="O10" s="2" t="inlineStr">
        <is>
          <t>商店</t>
        </is>
      </c>
      <c r="P10" s="2" t="inlineStr">
        <is>
          <t>3+</t>
        </is>
      </c>
      <c r="Q10" s="3" t="n">
        <v>60</v>
      </c>
      <c r="R10" s="2" t="inlineStr">
        <is>
          <t>全局基础攻击，投放比四类攻击更谨慎。</t>
        </is>
      </c>
    </row>
    <row r="11">
      <c r="A11" s="2" t="inlineStr">
        <is>
          <t>Accessory_R_DamageManual</t>
        </is>
      </c>
      <c r="B11" s="2" t="inlineStr">
        <is>
          <t>伤害手册</t>
        </is>
      </c>
      <c r="C11" s="2" t="inlineStr">
        <is>
          <t>Rare</t>
        </is>
      </c>
      <c r="D11" s="2" t="inlineStr">
        <is>
          <t>通用输出</t>
        </is>
      </c>
      <c r="E11" s="2" t="inlineStr">
        <is>
          <t>Damage +8</t>
        </is>
      </c>
      <c r="F11" s="3" t="n">
        <v>160</v>
      </c>
      <c r="G11" s="3" t="n">
        <v>0</v>
      </c>
      <c r="H11" s="3" t="n">
        <v>0</v>
      </c>
      <c r="I11" s="2" t="inlineStr"/>
      <c r="J11" s="3" t="n">
        <v>160</v>
      </c>
      <c r="K11" s="2">
        <f>ROUND(J11/4,0)</f>
        <v/>
      </c>
      <c r="L11" s="2">
        <f>K11</f>
        <v/>
      </c>
      <c r="M11" s="2">
        <f>ROUND(L11*0.3,0)</f>
        <v/>
      </c>
      <c r="N11" s="2" t="inlineStr">
        <is>
          <t>可重复</t>
        </is>
      </c>
      <c r="O11" s="2" t="inlineStr">
        <is>
          <t>商店</t>
        </is>
      </c>
      <c r="P11" s="2" t="inlineStr">
        <is>
          <t>3+</t>
        </is>
      </c>
      <c r="Q11" s="3" t="n">
        <v>85</v>
      </c>
      <c r="R11" s="2" t="inlineStr">
        <is>
          <t>Rare 标准输出件。</t>
        </is>
      </c>
    </row>
    <row r="12">
      <c r="A12" s="2" t="inlineStr">
        <is>
          <t>Accessory_R_RapidGear</t>
        </is>
      </c>
      <c r="B12" s="2" t="inlineStr">
        <is>
          <t>快速齿轮</t>
        </is>
      </c>
      <c r="C12" s="2" t="inlineStr">
        <is>
          <t>Rare</t>
        </is>
      </c>
      <c r="D12" s="2" t="inlineStr">
        <is>
          <t>攻速</t>
        </is>
      </c>
      <c r="E12" s="2" t="inlineStr">
        <is>
          <t>AttackSpeed +8</t>
        </is>
      </c>
      <c r="F12" s="3" t="n">
        <v>160</v>
      </c>
      <c r="G12" s="3" t="n">
        <v>0</v>
      </c>
      <c r="H12" s="3" t="n">
        <v>0</v>
      </c>
      <c r="I12" s="2" t="inlineStr"/>
      <c r="J12" s="3" t="n">
        <v>160</v>
      </c>
      <c r="K12" s="2">
        <f>ROUND(J12/4,0)</f>
        <v/>
      </c>
      <c r="L12" s="2">
        <f>K12</f>
        <v/>
      </c>
      <c r="M12" s="2">
        <f>ROUND(L12*0.3,0)</f>
        <v/>
      </c>
      <c r="N12" s="2" t="inlineStr">
        <is>
          <t>可重复</t>
        </is>
      </c>
      <c r="O12" s="2" t="inlineStr">
        <is>
          <t>商店</t>
        </is>
      </c>
      <c r="P12" s="2" t="inlineStr">
        <is>
          <t>3+</t>
        </is>
      </c>
      <c r="Q12" s="3" t="n">
        <v>85</v>
      </c>
      <c r="R12" s="2" t="inlineStr">
        <is>
          <t>快速构筑入口。</t>
        </is>
      </c>
    </row>
    <row r="13">
      <c r="A13" s="2" t="inlineStr">
        <is>
          <t>Accessory_R_MeleeEmblem</t>
        </is>
      </c>
      <c r="B13" s="2" t="inlineStr">
        <is>
          <t>近战徽记</t>
        </is>
      </c>
      <c r="C13" s="2" t="inlineStr">
        <is>
          <t>Rare</t>
        </is>
      </c>
      <c r="D13" s="2" t="inlineStr">
        <is>
          <t>类型攻击</t>
        </is>
      </c>
      <c r="E13" s="2" t="inlineStr">
        <is>
          <t>MeleeAttack +8</t>
        </is>
      </c>
      <c r="F13" s="3" t="n">
        <v>160</v>
      </c>
      <c r="G13" s="3" t="n">
        <v>0</v>
      </c>
      <c r="H13" s="3" t="n">
        <v>0</v>
      </c>
      <c r="I13" s="2" t="inlineStr"/>
      <c r="J13" s="3" t="n">
        <v>160</v>
      </c>
      <c r="K13" s="2">
        <f>ROUND(J13/4,0)</f>
        <v/>
      </c>
      <c r="L13" s="2">
        <f>K13</f>
        <v/>
      </c>
      <c r="M13" s="2">
        <f>ROUND(L13*0.3,0)</f>
        <v/>
      </c>
      <c r="N13" s="2" t="inlineStr">
        <is>
          <t>可重复</t>
        </is>
      </c>
      <c r="O13" s="2" t="inlineStr">
        <is>
          <t>商店</t>
        </is>
      </c>
      <c r="P13" s="2" t="inlineStr">
        <is>
          <t>3+</t>
        </is>
      </c>
      <c r="Q13" s="3" t="n">
        <v>70</v>
      </c>
      <c r="R13" s="2" t="inlineStr">
        <is>
          <t>流派徽记变体。</t>
        </is>
      </c>
    </row>
    <row r="14">
      <c r="A14" s="2" t="inlineStr">
        <is>
          <t>Accessory_R_RangedEmblem</t>
        </is>
      </c>
      <c r="B14" s="2" t="inlineStr">
        <is>
          <t>远程徽记</t>
        </is>
      </c>
      <c r="C14" s="2" t="inlineStr">
        <is>
          <t>Rare</t>
        </is>
      </c>
      <c r="D14" s="2" t="inlineStr">
        <is>
          <t>类型攻击</t>
        </is>
      </c>
      <c r="E14" s="2" t="inlineStr">
        <is>
          <t>RangedAttack +8</t>
        </is>
      </c>
      <c r="F14" s="3" t="n">
        <v>160</v>
      </c>
      <c r="G14" s="3" t="n">
        <v>0</v>
      </c>
      <c r="H14" s="3" t="n">
        <v>0</v>
      </c>
      <c r="I14" s="2" t="inlineStr"/>
      <c r="J14" s="3" t="n">
        <v>160</v>
      </c>
      <c r="K14" s="2">
        <f>ROUND(J14/4,0)</f>
        <v/>
      </c>
      <c r="L14" s="2">
        <f>K14</f>
        <v/>
      </c>
      <c r="M14" s="2">
        <f>ROUND(L14*0.3,0)</f>
        <v/>
      </c>
      <c r="N14" s="2" t="inlineStr">
        <is>
          <t>可重复</t>
        </is>
      </c>
      <c r="O14" s="2" t="inlineStr">
        <is>
          <t>商店</t>
        </is>
      </c>
      <c r="P14" s="2" t="inlineStr">
        <is>
          <t>3+</t>
        </is>
      </c>
      <c r="Q14" s="3" t="n">
        <v>70</v>
      </c>
      <c r="R14" s="2" t="inlineStr">
        <is>
          <t>流派徽记变体。</t>
        </is>
      </c>
    </row>
    <row r="15">
      <c r="A15" s="2" t="inlineStr">
        <is>
          <t>Accessory_R_MagicEmblem</t>
        </is>
      </c>
      <c r="B15" s="2" t="inlineStr">
        <is>
          <t>魔法徽记</t>
        </is>
      </c>
      <c r="C15" s="2" t="inlineStr">
        <is>
          <t>Rare</t>
        </is>
      </c>
      <c r="D15" s="2" t="inlineStr">
        <is>
          <t>类型攻击</t>
        </is>
      </c>
      <c r="E15" s="2" t="inlineStr">
        <is>
          <t>MagicAttack +8</t>
        </is>
      </c>
      <c r="F15" s="3" t="n">
        <v>160</v>
      </c>
      <c r="G15" s="3" t="n">
        <v>0</v>
      </c>
      <c r="H15" s="3" t="n">
        <v>0</v>
      </c>
      <c r="I15" s="2" t="inlineStr"/>
      <c r="J15" s="3" t="n">
        <v>160</v>
      </c>
      <c r="K15" s="2">
        <f>ROUND(J15/4,0)</f>
        <v/>
      </c>
      <c r="L15" s="2">
        <f>K15</f>
        <v/>
      </c>
      <c r="M15" s="2">
        <f>ROUND(L15*0.3,0)</f>
        <v/>
      </c>
      <c r="N15" s="2" t="inlineStr">
        <is>
          <t>可重复</t>
        </is>
      </c>
      <c r="O15" s="2" t="inlineStr">
        <is>
          <t>商店</t>
        </is>
      </c>
      <c r="P15" s="2" t="inlineStr">
        <is>
          <t>3+</t>
        </is>
      </c>
      <c r="Q15" s="3" t="n">
        <v>70</v>
      </c>
      <c r="R15" s="2" t="inlineStr">
        <is>
          <t>流派徽记变体。</t>
        </is>
      </c>
    </row>
    <row r="16">
      <c r="A16" s="2" t="inlineStr">
        <is>
          <t>Accessory_R_SummonEmblem</t>
        </is>
      </c>
      <c r="B16" s="2" t="inlineStr">
        <is>
          <t>召唤徽记</t>
        </is>
      </c>
      <c r="C16" s="2" t="inlineStr">
        <is>
          <t>Rare</t>
        </is>
      </c>
      <c r="D16" s="2" t="inlineStr">
        <is>
          <t>类型攻击</t>
        </is>
      </c>
      <c r="E16" s="2" t="inlineStr">
        <is>
          <t>SummonAttack +8</t>
        </is>
      </c>
      <c r="F16" s="3" t="n">
        <v>160</v>
      </c>
      <c r="G16" s="3" t="n">
        <v>0</v>
      </c>
      <c r="H16" s="3" t="n">
        <v>0</v>
      </c>
      <c r="I16" s="2" t="inlineStr"/>
      <c r="J16" s="3" t="n">
        <v>160</v>
      </c>
      <c r="K16" s="2">
        <f>ROUND(J16/4,0)</f>
        <v/>
      </c>
      <c r="L16" s="2">
        <f>K16</f>
        <v/>
      </c>
      <c r="M16" s="2">
        <f>ROUND(L16*0.3,0)</f>
        <v/>
      </c>
      <c r="N16" s="2" t="inlineStr">
        <is>
          <t>可重复</t>
        </is>
      </c>
      <c r="O16" s="2" t="inlineStr">
        <is>
          <t>商店</t>
        </is>
      </c>
      <c r="P16" s="2" t="inlineStr">
        <is>
          <t>3+</t>
        </is>
      </c>
      <c r="Q16" s="3" t="n">
        <v>70</v>
      </c>
      <c r="R16" s="2" t="inlineStr">
        <is>
          <t>流派徽记变体。</t>
        </is>
      </c>
    </row>
    <row r="17">
      <c r="A17" s="2" t="inlineStr">
        <is>
          <t>Accessory_R_SteelGuard</t>
        </is>
      </c>
      <c r="B17" s="2" t="inlineStr">
        <is>
          <t>钢制护符</t>
        </is>
      </c>
      <c r="C17" s="2" t="inlineStr">
        <is>
          <t>Rare</t>
        </is>
      </c>
      <c r="D17" s="2" t="inlineStr">
        <is>
          <t>护甲</t>
        </is>
      </c>
      <c r="E17" s="2" t="inlineStr">
        <is>
          <t>Armor +2</t>
        </is>
      </c>
      <c r="F17" s="3" t="n">
        <v>160</v>
      </c>
      <c r="G17" s="3" t="n">
        <v>0</v>
      </c>
      <c r="H17" s="3" t="n">
        <v>0</v>
      </c>
      <c r="I17" s="2" t="inlineStr"/>
      <c r="J17" s="3" t="n">
        <v>160</v>
      </c>
      <c r="K17" s="2">
        <f>ROUND(J17/4,0)</f>
        <v/>
      </c>
      <c r="L17" s="2">
        <f>K17</f>
        <v/>
      </c>
      <c r="M17" s="2">
        <f>ROUND(L17*0.3,0)</f>
        <v/>
      </c>
      <c r="N17" s="2" t="inlineStr">
        <is>
          <t>可重复</t>
        </is>
      </c>
      <c r="O17" s="2" t="inlineStr">
        <is>
          <t>商店</t>
        </is>
      </c>
      <c r="P17" s="2" t="inlineStr">
        <is>
          <t>4+</t>
        </is>
      </c>
      <c r="Q17" s="3" t="n">
        <v>50</v>
      </c>
      <c r="R17" s="2" t="inlineStr">
        <is>
          <t>护甲单点价值高，权重较低。</t>
        </is>
      </c>
    </row>
    <row r="18">
      <c r="A18" s="2" t="inlineStr">
        <is>
          <t>Accessory_R_EvasionCloth</t>
        </is>
      </c>
      <c r="B18" s="2" t="inlineStr">
        <is>
          <t>闪避披布</t>
        </is>
      </c>
      <c r="C18" s="2" t="inlineStr">
        <is>
          <t>Rare</t>
        </is>
      </c>
      <c r="D18" s="2" t="inlineStr">
        <is>
          <t>闪避</t>
        </is>
      </c>
      <c r="E18" s="2" t="inlineStr">
        <is>
          <t>Dodge +5</t>
        </is>
      </c>
      <c r="F18" s="3" t="n">
        <v>165</v>
      </c>
      <c r="G18" s="3" t="n">
        <v>0</v>
      </c>
      <c r="H18" s="3" t="n">
        <v>0</v>
      </c>
      <c r="I18" s="2" t="inlineStr"/>
      <c r="J18" s="3" t="n">
        <v>165</v>
      </c>
      <c r="K18" s="2">
        <f>ROUND(J18/4,0)</f>
        <v/>
      </c>
      <c r="L18" s="2">
        <f>K18</f>
        <v/>
      </c>
      <c r="M18" s="2">
        <f>ROUND(L18*0.3,0)</f>
        <v/>
      </c>
      <c r="N18" s="2" t="inlineStr">
        <is>
          <t>可重复</t>
        </is>
      </c>
      <c r="O18" s="2" t="inlineStr">
        <is>
          <t>商店</t>
        </is>
      </c>
      <c r="P18" s="2" t="inlineStr">
        <is>
          <t>4+</t>
        </is>
      </c>
      <c r="Q18" s="3" t="n">
        <v>50</v>
      </c>
      <c r="R18" s="2" t="inlineStr">
        <is>
          <t>受有效闪避上限限制。</t>
        </is>
      </c>
    </row>
    <row r="19">
      <c r="A19" s="2" t="inlineStr">
        <is>
          <t>Accessory_R_BloodNeedle</t>
        </is>
      </c>
      <c r="B19" s="2" t="inlineStr">
        <is>
          <t>吸血针管</t>
        </is>
      </c>
      <c r="C19" s="2" t="inlineStr">
        <is>
          <t>Rare</t>
        </is>
      </c>
      <c r="D19" s="2" t="inlineStr">
        <is>
          <t>吸血</t>
        </is>
      </c>
      <c r="E19" s="2" t="inlineStr">
        <is>
          <t>LifeSteal +8</t>
        </is>
      </c>
      <c r="F19" s="3" t="n">
        <v>160</v>
      </c>
      <c r="G19" s="3" t="n">
        <v>0</v>
      </c>
      <c r="H19" s="3" t="n">
        <v>0</v>
      </c>
      <c r="I19" s="2" t="inlineStr"/>
      <c r="J19" s="3" t="n">
        <v>160</v>
      </c>
      <c r="K19" s="2">
        <f>ROUND(J19/4,0)</f>
        <v/>
      </c>
      <c r="L19" s="2">
        <f>K19</f>
        <v/>
      </c>
      <c r="M19" s="2">
        <f>ROUND(L19*0.3,0)</f>
        <v/>
      </c>
      <c r="N19" s="2" t="inlineStr">
        <is>
          <t>可重复</t>
        </is>
      </c>
      <c r="O19" s="2" t="inlineStr">
        <is>
          <t>商店</t>
        </is>
      </c>
      <c r="P19" s="2" t="inlineStr">
        <is>
          <t>5+</t>
        </is>
      </c>
      <c r="Q19" s="3" t="n">
        <v>35</v>
      </c>
      <c r="R19" s="2" t="inlineStr">
        <is>
          <t>当前实战低稳定性，权重保守。</t>
        </is>
      </c>
    </row>
    <row r="20">
      <c r="A20" s="2" t="inlineStr">
        <is>
          <t>Accessory_R_TradeStamp</t>
        </is>
      </c>
      <c r="B20" s="2" t="inlineStr">
        <is>
          <t>商会印章</t>
        </is>
      </c>
      <c r="C20" s="2" t="inlineStr">
        <is>
          <t>Rare</t>
        </is>
      </c>
      <c r="D20" s="2" t="inlineStr">
        <is>
          <t>折扣</t>
        </is>
      </c>
      <c r="E20" s="2" t="inlineStr">
        <is>
          <t>ShopPriceDiscount +8</t>
        </is>
      </c>
      <c r="F20" s="3" t="n">
        <v>120</v>
      </c>
      <c r="G20" s="3" t="n">
        <v>0</v>
      </c>
      <c r="H20" s="3" t="n">
        <v>0</v>
      </c>
      <c r="I20" s="2" t="inlineStr"/>
      <c r="J20" s="3" t="n">
        <v>120</v>
      </c>
      <c r="K20" s="2">
        <f>ROUND(J20/4,0)</f>
        <v/>
      </c>
      <c r="L20" s="2">
        <f>K20</f>
        <v/>
      </c>
      <c r="M20" s="2">
        <f>ROUND(L20*0.3,0)</f>
        <v/>
      </c>
      <c r="N20" s="2" t="inlineStr">
        <is>
          <t>可重复</t>
        </is>
      </c>
      <c r="O20" s="2" t="inlineStr">
        <is>
          <t>商店</t>
        </is>
      </c>
      <c r="P20" s="2" t="inlineStr">
        <is>
          <t>2-12</t>
        </is>
      </c>
      <c r="Q20" s="3" t="n">
        <v>25</v>
      </c>
      <c r="R20" s="2" t="inlineStr">
        <is>
          <t>经济滚雪球，后期不投放。</t>
        </is>
      </c>
    </row>
    <row r="21">
      <c r="A21" s="2" t="inlineStr">
        <is>
          <t>Accessory_R_WavePurse</t>
        </is>
      </c>
      <c r="B21" s="2" t="inlineStr">
        <is>
          <t>波次钱袋</t>
        </is>
      </c>
      <c r="C21" s="2" t="inlineStr">
        <is>
          <t>Rare</t>
        </is>
      </c>
      <c r="D21" s="2" t="inlineStr">
        <is>
          <t>金币</t>
        </is>
      </c>
      <c r="E21" s="2" t="inlineStr">
        <is>
          <t>WaveGoldRewardBonus +12</t>
        </is>
      </c>
      <c r="F21" s="3" t="n">
        <v>150</v>
      </c>
      <c r="G21" s="3" t="n">
        <v>0</v>
      </c>
      <c r="H21" s="3" t="n">
        <v>0</v>
      </c>
      <c r="I21" s="2" t="inlineStr"/>
      <c r="J21" s="3" t="n">
        <v>150</v>
      </c>
      <c r="K21" s="2">
        <f>ROUND(J21/4,0)</f>
        <v/>
      </c>
      <c r="L21" s="2">
        <f>K21</f>
        <v/>
      </c>
      <c r="M21" s="2">
        <f>ROUND(L21*0.3,0)</f>
        <v/>
      </c>
      <c r="N21" s="2" t="inlineStr">
        <is>
          <t>可重复</t>
        </is>
      </c>
      <c r="O21" s="2" t="inlineStr">
        <is>
          <t>商店</t>
        </is>
      </c>
      <c r="P21" s="2" t="inlineStr">
        <is>
          <t>1-10</t>
        </is>
      </c>
      <c r="Q21" s="3" t="n">
        <v>25</v>
      </c>
      <c r="R21" s="2" t="inlineStr">
        <is>
          <t>越早越强，10 波后关闭。</t>
        </is>
      </c>
    </row>
    <row r="22">
      <c r="A22" s="2" t="inlineStr">
        <is>
          <t>Accessory_E_CritScope</t>
        </is>
      </c>
      <c r="B22" s="2" t="inlineStr">
        <is>
          <t>暴击瞄准镜</t>
        </is>
      </c>
      <c r="C22" s="2" t="inlineStr">
        <is>
          <t>Epic</t>
        </is>
      </c>
      <c r="D22" s="2" t="inlineStr">
        <is>
          <t>暴击</t>
        </is>
      </c>
      <c r="E22" s="2" t="inlineStr">
        <is>
          <t>CriticalChance +3; CriticalPercent +6</t>
        </is>
      </c>
      <c r="F22" s="3" t="n">
        <v>222</v>
      </c>
      <c r="G22" s="3" t="n">
        <v>0</v>
      </c>
      <c r="H22" s="3" t="n">
        <v>0</v>
      </c>
      <c r="I22" s="2" t="inlineStr"/>
      <c r="J22" s="3" t="n">
        <v>222</v>
      </c>
      <c r="K22" s="2">
        <f>ROUND(J22/4,0)</f>
        <v/>
      </c>
      <c r="L22" s="2">
        <f>K22</f>
        <v/>
      </c>
      <c r="M22" s="2">
        <f>ROUND(L22*0.3,0)</f>
        <v/>
      </c>
      <c r="N22" s="2" t="inlineStr">
        <is>
          <t>可重复</t>
        </is>
      </c>
      <c r="O22" s="2" t="inlineStr">
        <is>
          <t>商店</t>
        </is>
      </c>
      <c r="P22" s="2" t="inlineStr">
        <is>
          <t>6+</t>
        </is>
      </c>
      <c r="Q22" s="3" t="n">
        <v>40</v>
      </c>
      <c r="R22" s="2" t="inlineStr">
        <is>
          <t>精准构筑件，前期低暴击率时收益偏弱。</t>
        </is>
      </c>
    </row>
    <row r="23">
      <c r="A23" s="2" t="inlineStr">
        <is>
          <t>Accessory_E_RegenCore</t>
        </is>
      </c>
      <c r="B23" s="2" t="inlineStr">
        <is>
          <t>再生核心</t>
        </is>
      </c>
      <c r="C23" s="2" t="inlineStr">
        <is>
          <t>Epic</t>
        </is>
      </c>
      <c r="D23" s="2" t="inlineStr">
        <is>
          <t>回复</t>
        </is>
      </c>
      <c r="E23" s="2" t="inlineStr">
        <is>
          <t>HealthRecoverySpeed +22</t>
        </is>
      </c>
      <c r="F23" s="3" t="n">
        <v>220</v>
      </c>
      <c r="G23" s="3" t="n">
        <v>0</v>
      </c>
      <c r="H23" s="3" t="n">
        <v>0</v>
      </c>
      <c r="I23" s="2" t="inlineStr"/>
      <c r="J23" s="3" t="n">
        <v>220</v>
      </c>
      <c r="K23" s="2">
        <f>ROUND(J23/4,0)</f>
        <v/>
      </c>
      <c r="L23" s="2">
        <f>K23</f>
        <v/>
      </c>
      <c r="M23" s="2">
        <f>ROUND(L23*0.3,0)</f>
        <v/>
      </c>
      <c r="N23" s="2" t="inlineStr">
        <is>
          <t>可重复</t>
        </is>
      </c>
      <c r="O23" s="2" t="inlineStr">
        <is>
          <t>商店</t>
        </is>
      </c>
      <c r="P23" s="2" t="inlineStr">
        <is>
          <t>6+</t>
        </is>
      </c>
      <c r="Q23" s="3" t="n">
        <v>45</v>
      </c>
      <c r="R23" s="2" t="inlineStr">
        <is>
          <t>强回复件，避免同件再叠高生命或高减伤。</t>
        </is>
      </c>
    </row>
    <row r="24">
      <c r="A24" s="2" t="inlineStr">
        <is>
          <t>Accessory_E_CompositePlate</t>
        </is>
      </c>
      <c r="B24" s="2" t="inlineStr">
        <is>
          <t>复合护板</t>
        </is>
      </c>
      <c r="C24" s="2" t="inlineStr">
        <is>
          <t>Epic</t>
        </is>
      </c>
      <c r="D24" s="2" t="inlineStr">
        <is>
          <t>复合生存</t>
        </is>
      </c>
      <c r="E24" s="2" t="inlineStr">
        <is>
          <t>MaxHealth +24; DamageReduction +4</t>
        </is>
      </c>
      <c r="F24" s="3" t="n">
        <v>220</v>
      </c>
      <c r="G24" s="3" t="n">
        <v>0</v>
      </c>
      <c r="H24" s="3" t="n">
        <v>0</v>
      </c>
      <c r="I24" s="2" t="inlineStr">
        <is>
          <t>已保守控制</t>
        </is>
      </c>
      <c r="J24" s="3" t="n">
        <v>220</v>
      </c>
      <c r="K24" s="2">
        <f>ROUND(J24/4,0)</f>
        <v/>
      </c>
      <c r="L24" s="2">
        <f>K24</f>
        <v/>
      </c>
      <c r="M24" s="2">
        <f>ROUND(L24*0.3,0)</f>
        <v/>
      </c>
      <c r="N24" s="2" t="inlineStr">
        <is>
          <t>可重复</t>
        </is>
      </c>
      <c r="O24" s="2" t="inlineStr">
        <is>
          <t>商店</t>
        </is>
      </c>
      <c r="P24" s="2" t="inlineStr">
        <is>
          <t>7+</t>
        </is>
      </c>
      <c r="Q24" s="3" t="n">
        <v>35</v>
      </c>
      <c r="R24" s="2" t="inlineStr">
        <is>
          <t>两条生存链路，已按保守值控制。</t>
        </is>
      </c>
    </row>
    <row r="25">
      <c r="A25" s="2" t="inlineStr">
        <is>
          <t>Accessory_E_LongRangeStabilizer</t>
        </is>
      </c>
      <c r="B25" s="2" t="inlineStr">
        <is>
          <t>远距稳定器</t>
        </is>
      </c>
      <c r="C25" s="2" t="inlineStr">
        <is>
          <t>Epic</t>
        </is>
      </c>
      <c r="D25" s="2" t="inlineStr">
        <is>
          <t>范围</t>
        </is>
      </c>
      <c r="E25" s="2" t="inlineStr">
        <is>
          <t>AttackRange +28</t>
        </is>
      </c>
      <c r="F25" s="3" t="n">
        <v>224</v>
      </c>
      <c r="G25" s="3" t="n">
        <v>0</v>
      </c>
      <c r="H25" s="3" t="n">
        <v>0</v>
      </c>
      <c r="I25" s="2" t="inlineStr"/>
      <c r="J25" s="3" t="n">
        <v>224</v>
      </c>
      <c r="K25" s="2">
        <f>ROUND(J25/4,0)</f>
        <v/>
      </c>
      <c r="L25" s="2">
        <f>K25</f>
        <v/>
      </c>
      <c r="M25" s="2">
        <f>ROUND(L25*0.3,0)</f>
        <v/>
      </c>
      <c r="N25" s="2" t="inlineStr">
        <is>
          <t>可重复</t>
        </is>
      </c>
      <c r="O25" s="2" t="inlineStr">
        <is>
          <t>商店</t>
        </is>
      </c>
      <c r="P25" s="2" t="inlineStr">
        <is>
          <t>6+</t>
        </is>
      </c>
      <c r="Q25" s="3" t="n">
        <v>45</v>
      </c>
      <c r="R25" s="2" t="inlineStr">
        <is>
          <t>范围构筑件。</t>
        </is>
      </c>
    </row>
    <row r="26">
      <c r="A26" s="2" t="inlineStr">
        <is>
          <t>Accessory_E_PiercingDrill</t>
        </is>
      </c>
      <c r="B26" s="2" t="inlineStr">
        <is>
          <t>穿透钻头</t>
        </is>
      </c>
      <c r="C26" s="2" t="inlineStr">
        <is>
          <t>Epic</t>
        </is>
      </c>
      <c r="D26" s="2" t="inlineStr">
        <is>
          <t>穿透机制</t>
        </is>
      </c>
      <c r="E26" s="2" t="inlineStr">
        <is>
          <t>ProjectilePierceCount +1</t>
        </is>
      </c>
      <c r="F26" s="3" t="n">
        <v>0</v>
      </c>
      <c r="G26" s="3" t="n">
        <v>0</v>
      </c>
      <c r="H26" s="3" t="n">
        <v>200</v>
      </c>
      <c r="I26" s="2" t="inlineStr"/>
      <c r="J26" s="3" t="n">
        <v>200</v>
      </c>
      <c r="K26" s="2">
        <f>ROUND(J26/4,0)</f>
        <v/>
      </c>
      <c r="L26" s="2">
        <f>K26</f>
        <v/>
      </c>
      <c r="M26" s="2">
        <f>ROUND(L26*0.3,0)</f>
        <v/>
      </c>
      <c r="N26" s="2" t="inlineStr">
        <is>
          <t>适量上限 2</t>
        </is>
      </c>
      <c r="O26" s="2" t="inlineStr">
        <is>
          <t>商店</t>
        </is>
      </c>
      <c r="P26" s="2" t="inlineStr">
        <is>
          <t>10+</t>
        </is>
      </c>
      <c r="Q26" s="3" t="n">
        <v>18</v>
      </c>
      <c r="R26" s="2" t="inlineStr">
        <is>
          <t>机制入口，不进入低品质。</t>
        </is>
      </c>
    </row>
    <row r="27">
      <c r="A27" s="2" t="inlineStr">
        <is>
          <t>Accessory_E_FieldInstructor</t>
        </is>
      </c>
      <c r="B27" s="2" t="inlineStr">
        <is>
          <t>战场教官</t>
        </is>
      </c>
      <c r="C27" s="2" t="inlineStr">
        <is>
          <t>Epic</t>
        </is>
      </c>
      <c r="D27" s="2" t="inlineStr">
        <is>
          <t>通用攻击</t>
        </is>
      </c>
      <c r="E27" s="2" t="inlineStr">
        <is>
          <t>Attack +6</t>
        </is>
      </c>
      <c r="F27" s="3" t="n">
        <v>240</v>
      </c>
      <c r="G27" s="3" t="n">
        <v>0</v>
      </c>
      <c r="H27" s="3" t="n">
        <v>0</v>
      </c>
      <c r="I27" s="2" t="inlineStr"/>
      <c r="J27" s="3" t="n">
        <v>240</v>
      </c>
      <c r="K27" s="2">
        <f>ROUND(J27/4,0)</f>
        <v/>
      </c>
      <c r="L27" s="2">
        <f>K27</f>
        <v/>
      </c>
      <c r="M27" s="2">
        <f>ROUND(L27*0.3,0)</f>
        <v/>
      </c>
      <c r="N27" s="2" t="inlineStr">
        <is>
          <t>可重复</t>
        </is>
      </c>
      <c r="O27" s="2" t="inlineStr">
        <is>
          <t>商店</t>
        </is>
      </c>
      <c r="P27" s="2" t="inlineStr">
        <is>
          <t>8+</t>
        </is>
      </c>
      <c r="Q27" s="3" t="n">
        <v>30</v>
      </c>
      <c r="R27" s="2" t="inlineStr">
        <is>
          <t>全局基础攻击，高价值输出件。</t>
        </is>
      </c>
    </row>
    <row r="28">
      <c r="A28" s="2" t="inlineStr">
        <is>
          <t>Accessory_E_GrowthLedger</t>
        </is>
      </c>
      <c r="B28" s="2" t="inlineStr">
        <is>
          <t>成长账本</t>
        </is>
      </c>
      <c r="C28" s="2" t="inlineStr">
        <is>
          <t>Epic</t>
        </is>
      </c>
      <c r="D28" s="2" t="inlineStr">
        <is>
          <t>经济</t>
        </is>
      </c>
      <c r="E28" s="2" t="inlineStr">
        <is>
          <t>ExperienceGain +12; Luck +4</t>
        </is>
      </c>
      <c r="F28" s="3" t="n">
        <v>260</v>
      </c>
      <c r="G28" s="3" t="n">
        <v>0</v>
      </c>
      <c r="H28" s="3" t="n">
        <v>0</v>
      </c>
      <c r="I28" s="2" t="inlineStr"/>
      <c r="J28" s="3" t="n">
        <v>260</v>
      </c>
      <c r="K28" s="2">
        <f>ROUND(J28/4,0)</f>
        <v/>
      </c>
      <c r="L28" s="2">
        <f>K28</f>
        <v/>
      </c>
      <c r="M28" s="2">
        <f>ROUND(L28*0.3,0)</f>
        <v/>
      </c>
      <c r="N28" s="2" t="inlineStr">
        <is>
          <t>可重复</t>
        </is>
      </c>
      <c r="O28" s="2" t="inlineStr">
        <is>
          <t>商店</t>
        </is>
      </c>
      <c r="P28" s="2" t="inlineStr">
        <is>
          <t>1-10</t>
        </is>
      </c>
      <c r="Q28" s="3" t="n">
        <v>12</v>
      </c>
      <c r="R28" s="2" t="inlineStr">
        <is>
          <t>早期经济构筑件，权重很低。</t>
        </is>
      </c>
    </row>
    <row r="29">
      <c r="A29" s="2" t="inlineStr">
        <is>
          <t>Accessory_L_ExtraHolster</t>
        </is>
      </c>
      <c r="B29" s="2" t="inlineStr">
        <is>
          <t>额外枪套</t>
        </is>
      </c>
      <c r="C29" s="2" t="inlineStr">
        <is>
          <t>Legendary</t>
        </is>
      </c>
      <c r="D29" s="2" t="inlineStr">
        <is>
          <t>武器槽机制</t>
        </is>
      </c>
      <c r="E29" s="2" t="inlineStr">
        <is>
          <t>WeaponSlotCount +1</t>
        </is>
      </c>
      <c r="F29" s="3" t="n">
        <v>0</v>
      </c>
      <c r="G29" s="3" t="n">
        <v>0</v>
      </c>
      <c r="H29" s="3" t="n">
        <v>400</v>
      </c>
      <c r="I29" s="2" t="inlineStr"/>
      <c r="J29" s="3" t="n">
        <v>400</v>
      </c>
      <c r="K29" s="2">
        <f>ROUND(J29/4,0)</f>
        <v/>
      </c>
      <c r="L29" s="2">
        <f>K29</f>
        <v/>
      </c>
      <c r="M29" s="2">
        <f>ROUND(L29*0.3,0)</f>
        <v/>
      </c>
      <c r="N29" s="2" t="inlineStr">
        <is>
          <t>唯一</t>
        </is>
      </c>
      <c r="O29" s="2" t="inlineStr">
        <is>
          <t>商店; Boss 奖励</t>
        </is>
      </c>
      <c r="P29" s="2" t="inlineStr">
        <is>
          <t>15+</t>
        </is>
      </c>
      <c r="Q29" s="3" t="n">
        <v>3</v>
      </c>
      <c r="R29" s="2" t="inlineStr">
        <is>
          <t>终局构筑容量入口。</t>
        </is>
      </c>
    </row>
    <row r="30">
      <c r="A30" s="2" t="inlineStr">
        <is>
          <t>Accessory_L_CritCrown</t>
        </is>
      </c>
      <c r="B30" s="2" t="inlineStr">
        <is>
          <t>暴击王冠</t>
        </is>
      </c>
      <c r="C30" s="2" t="inlineStr">
        <is>
          <t>Legendary</t>
        </is>
      </c>
      <c r="D30" s="2" t="inlineStr">
        <is>
          <t>暴击</t>
        </is>
      </c>
      <c r="E30" s="2" t="inlineStr">
        <is>
          <t>CriticalChance +5; CriticalPercent +12</t>
        </is>
      </c>
      <c r="F30" s="3" t="n">
        <v>394</v>
      </c>
      <c r="G30" s="3" t="n">
        <v>0</v>
      </c>
      <c r="H30" s="3" t="n">
        <v>0</v>
      </c>
      <c r="I30" s="2" t="inlineStr"/>
      <c r="J30" s="3" t="n">
        <v>394</v>
      </c>
      <c r="K30" s="2">
        <f>ROUND(J30/4,0)</f>
        <v/>
      </c>
      <c r="L30" s="2">
        <f>K30</f>
        <v/>
      </c>
      <c r="M30" s="2">
        <f>ROUND(L30*0.3,0)</f>
        <v/>
      </c>
      <c r="N30" s="2" t="inlineStr">
        <is>
          <t>可重复</t>
        </is>
      </c>
      <c r="O30" s="2" t="inlineStr">
        <is>
          <t>商店; Boss 奖励</t>
        </is>
      </c>
      <c r="P30" s="2" t="inlineStr">
        <is>
          <t>12+</t>
        </is>
      </c>
      <c r="Q30" s="3" t="n">
        <v>8</v>
      </c>
      <c r="R30" s="2" t="inlineStr">
        <is>
          <t>后期精准构筑核心。</t>
        </is>
      </c>
    </row>
    <row r="31">
      <c r="A31" s="2" t="inlineStr">
        <is>
          <t>Accessory_L_AlloyTactics</t>
        </is>
      </c>
      <c r="B31" s="2" t="inlineStr">
        <is>
          <t>合金战术板</t>
        </is>
      </c>
      <c r="C31" s="2" t="inlineStr">
        <is>
          <t>Legendary</t>
        </is>
      </c>
      <c r="D31" s="2" t="inlineStr">
        <is>
          <t>全类型攻击</t>
        </is>
      </c>
      <c r="E31" s="2" t="inlineStr">
        <is>
          <t>Melee/Ranged/Magic/SummonAttack 各 +4</t>
        </is>
      </c>
      <c r="F31" s="3" t="n">
        <v>320</v>
      </c>
      <c r="G31" s="3" t="n">
        <v>0</v>
      </c>
      <c r="H31" s="3" t="n">
        <v>0</v>
      </c>
      <c r="I31" s="2" t="inlineStr"/>
      <c r="J31" s="3" t="n">
        <v>320</v>
      </c>
      <c r="K31" s="2">
        <f>ROUND(J31/4,0)</f>
        <v/>
      </c>
      <c r="L31" s="2">
        <f>K31</f>
        <v/>
      </c>
      <c r="M31" s="2">
        <f>ROUND(L31*0.3,0)</f>
        <v/>
      </c>
      <c r="N31" s="2" t="inlineStr">
        <is>
          <t>可重复</t>
        </is>
      </c>
      <c r="O31" s="2" t="inlineStr">
        <is>
          <t>商店</t>
        </is>
      </c>
      <c r="P31" s="2" t="inlineStr">
        <is>
          <t>12+</t>
        </is>
      </c>
      <c r="Q31" s="3" t="n">
        <v>8</v>
      </c>
      <c r="R31" s="2" t="inlineStr">
        <is>
          <t>多武器混合构筑件。</t>
        </is>
      </c>
    </row>
    <row r="32">
      <c r="A32" s="2" t="inlineStr">
        <is>
          <t>Accessory_L_OverdriveCore</t>
        </is>
      </c>
      <c r="B32" s="2" t="inlineStr">
        <is>
          <t>过载核心</t>
        </is>
      </c>
      <c r="C32" s="2" t="inlineStr">
        <is>
          <t>Legendary</t>
        </is>
      </c>
      <c r="D32" s="2" t="inlineStr">
        <is>
          <t>通用输出</t>
        </is>
      </c>
      <c r="E32" s="2" t="inlineStr">
        <is>
          <t>Damage +15; AttackSpeed +4</t>
        </is>
      </c>
      <c r="F32" s="3" t="n">
        <v>380</v>
      </c>
      <c r="G32" s="3" t="n">
        <v>0</v>
      </c>
      <c r="H32" s="3" t="n">
        <v>0</v>
      </c>
      <c r="I32" s="2" t="inlineStr"/>
      <c r="J32" s="3" t="n">
        <v>380</v>
      </c>
      <c r="K32" s="2">
        <f>ROUND(J32/4,0)</f>
        <v/>
      </c>
      <c r="L32" s="2">
        <f>K32</f>
        <v/>
      </c>
      <c r="M32" s="2">
        <f>ROUND(L32*0.3,0)</f>
        <v/>
      </c>
      <c r="N32" s="2" t="inlineStr">
        <is>
          <t>可重复</t>
        </is>
      </c>
      <c r="O32" s="2" t="inlineStr">
        <is>
          <t>商店; Boss 奖励</t>
        </is>
      </c>
      <c r="P32" s="2" t="inlineStr">
        <is>
          <t>12+</t>
        </is>
      </c>
      <c r="Q32" s="3" t="n">
        <v>8</v>
      </c>
      <c r="R32" s="2" t="inlineStr">
        <is>
          <t>高输出复合件，不能再附带生存。</t>
        </is>
      </c>
    </row>
    <row r="33">
      <c r="A33" s="2" t="inlineStr">
        <is>
          <t>Accessory_L_BenefitCoupler</t>
        </is>
      </c>
      <c r="B33" s="2" t="inlineStr">
        <is>
          <t>收益耦合器</t>
        </is>
      </c>
      <c r="C33" s="2" t="inlineStr">
        <is>
          <t>Legendary</t>
        </is>
      </c>
      <c r="D33" s="2" t="inlineStr">
        <is>
          <t>武器收益率</t>
        </is>
      </c>
      <c r="E33" s="2" t="inlineStr">
        <is>
          <t>AttackSpeedBenefit +5; CriticalChanceBenefit +2; RangeBenefit +5; 四类 Attack 收益率各 +2</t>
        </is>
      </c>
      <c r="F33" s="3" t="n">
        <v>0</v>
      </c>
      <c r="G33" s="3" t="n">
        <v>0</v>
      </c>
      <c r="H33" s="3" t="n">
        <v>400</v>
      </c>
      <c r="I33" s="2" t="inlineStr"/>
      <c r="J33" s="3" t="n">
        <v>400</v>
      </c>
      <c r="K33" s="2">
        <f>ROUND(J33/4,0)</f>
        <v/>
      </c>
      <c r="L33" s="2">
        <f>K33</f>
        <v/>
      </c>
      <c r="M33" s="2">
        <f>ROUND(L33*0.3,0)</f>
        <v/>
      </c>
      <c r="N33" s="2" t="inlineStr">
        <is>
          <t>适量上限 1</t>
        </is>
      </c>
      <c r="O33" s="2" t="inlineStr">
        <is>
          <t>商店; Boss 奖励</t>
        </is>
      </c>
      <c r="P33" s="2" t="inlineStr">
        <is>
          <t>14+</t>
        </is>
      </c>
      <c r="Q33" s="3" t="n">
        <v>5</v>
      </c>
      <c r="R33" s="2" t="inlineStr">
        <is>
          <t>放大外部属性，按全武器收益保守投放。</t>
        </is>
      </c>
    </row>
  </sheetData>
  <dataValidations count="1">
    <dataValidation sqref="C2:C33" showErrorMessage="1" showInputMessage="1" allowBlank="0" type="list">
      <formula1>"Common,Rare,Epic,Legendary"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0" customHeight="1">
      <c r="A1" s="1" t="inlineStr">
        <is>
          <t>武器ID</t>
        </is>
      </c>
      <c r="B1" s="1" t="inlineStr">
        <is>
          <t>名称</t>
        </is>
      </c>
      <c r="C1" s="1" t="inlineStr">
        <is>
          <t>品质</t>
        </is>
      </c>
      <c r="D1" s="1" t="inlineStr">
        <is>
          <t>主标签</t>
        </is>
      </c>
      <c r="E1" s="1" t="inlineStr">
        <is>
          <t>副标签</t>
        </is>
      </c>
      <c r="F1" s="1" t="inlineStr">
        <is>
          <t>定位</t>
        </is>
      </c>
      <c r="G1" s="1" t="inlineStr">
        <is>
          <t>基础开放波次</t>
        </is>
      </c>
      <c r="H1" s="1" t="inlineStr">
        <is>
          <t>基础权重</t>
        </is>
      </c>
      <c r="I1" s="1" t="inlineStr">
        <is>
          <t>1级价格</t>
        </is>
      </c>
      <c r="J1" s="1" t="inlineStr">
        <is>
          <t>1级总BP</t>
        </is>
      </c>
      <c r="K1" s="1" t="inlineStr">
        <is>
          <t>目标价格偏差</t>
        </is>
      </c>
      <c r="L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6" customWidth="1" min="5" max="5"/>
    <col width="17" customWidth="1" min="6" max="6"/>
    <col width="10" customWidth="1" min="7" max="7"/>
    <col width="11" customWidth="1" min="8" max="8"/>
    <col width="12" customWidth="1" min="9" max="9"/>
    <col width="13" customWidth="1" min="10" max="10"/>
    <col width="12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30" customHeight="1">
      <c r="A1" s="1" t="inlineStr">
        <is>
          <t>武器ID</t>
        </is>
      </c>
      <c r="B1" s="1" t="inlineStr">
        <is>
          <t>等级</t>
        </is>
      </c>
      <c r="C1" s="1" t="inlineStr">
        <is>
          <t>Attack</t>
        </is>
      </c>
      <c r="D1" s="1" t="inlineStr">
        <is>
          <t>AttackSpeed</t>
        </is>
      </c>
      <c r="E1" s="1" t="inlineStr">
        <is>
          <t>CriticalChance</t>
        </is>
      </c>
      <c r="F1" s="1" t="inlineStr">
        <is>
          <t>CriticalPercent</t>
        </is>
      </c>
      <c r="G1" s="1" t="inlineStr">
        <is>
          <t>Range</t>
        </is>
      </c>
      <c r="H1" s="1" t="inlineStr">
        <is>
          <t>Knockback</t>
        </is>
      </c>
      <c r="I1" s="1" t="inlineStr">
        <is>
          <t>MeleeUsage</t>
        </is>
      </c>
      <c r="J1" s="1" t="inlineStr">
        <is>
          <t>RangedUsage</t>
        </is>
      </c>
      <c r="K1" s="1" t="inlineStr">
        <is>
          <t>MagicUsage</t>
        </is>
      </c>
      <c r="L1" s="1" t="inlineStr">
        <is>
          <t>SummonUsage</t>
        </is>
      </c>
      <c r="M1" s="1" t="inlineStr">
        <is>
          <t>收益率</t>
        </is>
      </c>
      <c r="N1" s="1" t="inlineStr">
        <is>
          <t>持有者属性</t>
        </is>
      </c>
      <c r="O1" s="1" t="inlineStr">
        <is>
          <t>单体DPS</t>
        </is>
      </c>
      <c r="P1" s="1" t="inlineStr">
        <is>
          <t>群体修正</t>
        </is>
      </c>
      <c r="Q1" s="1" t="inlineStr">
        <is>
          <t>机制修正</t>
        </is>
      </c>
      <c r="R1" s="1" t="inlineStr">
        <is>
          <t>安全修正</t>
        </is>
      </c>
      <c r="S1" s="1" t="inlineStr">
        <is>
          <t>等效DPS</t>
        </is>
      </c>
      <c r="T1" s="1" t="inlineStr">
        <is>
          <t>等级价值倍率</t>
        </is>
      </c>
      <c r="U1" s="1" t="inlineStr">
        <is>
          <t>等级价格</t>
        </is>
      </c>
      <c r="V1" s="1" t="inlineStr">
        <is>
          <t>价格偏差</t>
        </is>
      </c>
      <c r="W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1" customWidth="1" min="7" max="7"/>
    <col width="16" customWidth="1" min="8" max="8"/>
    <col width="13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怪物ID</t>
        </is>
      </c>
      <c r="B1" s="1" t="inlineStr">
        <is>
          <t>名称</t>
        </is>
      </c>
      <c r="C1" s="1" t="inlineStr">
        <is>
          <t>定位</t>
        </is>
      </c>
      <c r="D1" s="1" t="inlineStr">
        <is>
          <t>MaxHealth</t>
        </is>
      </c>
      <c r="E1" s="1" t="inlineStr">
        <is>
          <t>Attack</t>
        </is>
      </c>
      <c r="F1" s="1" t="inlineStr">
        <is>
          <t>AttackSpeed</t>
        </is>
      </c>
      <c r="G1" s="1" t="inlineStr">
        <is>
          <t>MoveSpeed</t>
        </is>
      </c>
      <c r="H1" s="1" t="inlineStr">
        <is>
          <t>DetectionRange</t>
        </is>
      </c>
      <c r="I1" s="1" t="inlineStr">
        <is>
          <t>AttackRange</t>
        </is>
      </c>
      <c r="J1" s="1" t="inlineStr">
        <is>
          <t>Armor</t>
        </is>
      </c>
      <c r="K1" s="1" t="inlineStr">
        <is>
          <t>KnockbackResistance</t>
        </is>
      </c>
      <c r="L1" s="1" t="inlineStr">
        <is>
          <t>行为参数</t>
        </is>
      </c>
      <c r="M1" s="1" t="inlineStr">
        <is>
          <t>奖励基准</t>
        </is>
      </c>
      <c r="N1" s="1" t="inlineStr">
        <is>
          <t>默认标签</t>
        </is>
      </c>
      <c r="O1" s="1" t="inlineStr">
        <is>
          <t>命中可靠性</t>
        </is>
      </c>
      <c r="P1" s="1" t="inlineStr">
        <is>
          <t>预期接触率</t>
        </is>
      </c>
      <c r="Q1" s="1" t="inlineStr">
        <is>
          <t>单体生存压力</t>
        </is>
      </c>
      <c r="R1" s="1" t="inlineStr">
        <is>
          <t>单体伤害压力</t>
        </is>
      </c>
      <c r="S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怪物ID</t>
        </is>
      </c>
      <c r="B1" s="1" t="inlineStr">
        <is>
          <t>波次段</t>
        </is>
      </c>
      <c r="C1" s="1" t="inlineStr">
        <is>
          <t>权重</t>
        </is>
      </c>
      <c r="D1" s="1" t="inlineStr">
        <is>
          <t>数量占比</t>
        </is>
      </c>
      <c r="E1" s="1" t="inlineStr">
        <is>
          <t>额外压力标签</t>
        </is>
      </c>
      <c r="F1" s="1" t="inlineStr">
        <is>
          <t>生成位置</t>
        </is>
      </c>
      <c r="G1" s="1" t="inlineStr">
        <is>
          <t>奖励修正</t>
        </is>
      </c>
      <c r="H1" s="1" t="inlineStr">
        <is>
          <t>关键波次面板</t>
        </is>
      </c>
      <c r="I1" s="1" t="inlineStr">
        <is>
          <t>目标击杀时间</t>
        </is>
      </c>
      <c r="J1" s="1" t="inlineStr">
        <is>
          <t>压力贡献</t>
        </is>
      </c>
      <c r="K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1" t="inlineStr">
        <is>
          <t>波次ID</t>
        </is>
      </c>
      <c r="B1" s="1" t="inlineStr">
        <is>
          <t>持续时间</t>
        </is>
      </c>
      <c r="C1" s="1" t="inlineStr">
        <is>
          <t>目标玩家状态</t>
        </is>
      </c>
      <c r="D1" s="1" t="inlineStr">
        <is>
          <t>总刷怪数量</t>
        </is>
      </c>
      <c r="E1" s="1" t="inlineStr">
        <is>
          <t>每分钟密度</t>
        </is>
      </c>
      <c r="F1" s="1" t="inlineStr">
        <is>
          <t>时间分布</t>
        </is>
      </c>
      <c r="G1" s="1" t="inlineStr">
        <is>
          <t>目标同屏数量</t>
        </is>
      </c>
      <c r="H1" s="1" t="inlineStr">
        <is>
          <t>波次总生命池</t>
        </is>
      </c>
      <c r="I1" s="1" t="inlineStr">
        <is>
          <t>清场需求DPS</t>
        </is>
      </c>
      <c r="J1" s="1" t="inlineStr">
        <is>
          <t>波次总伤害压力</t>
        </is>
      </c>
      <c r="K1" s="1" t="inlineStr">
        <is>
          <t>普通怪结构</t>
        </is>
      </c>
      <c r="L1" s="1" t="inlineStr">
        <is>
          <t>精英节奏</t>
        </is>
      </c>
      <c r="M1" s="1" t="inlineStr">
        <is>
          <t>Boss节奏</t>
        </is>
      </c>
      <c r="N1" s="1" t="inlineStr">
        <is>
          <t>生成位置</t>
        </is>
      </c>
      <c r="O1" s="1" t="inlineStr">
        <is>
          <t>掉落/经济目标</t>
        </is>
      </c>
      <c r="P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池条目ID</t>
        </is>
      </c>
      <c r="B1" s="1" t="inlineStr">
        <is>
          <t>内容类型</t>
        </is>
      </c>
      <c r="C1" s="1" t="inlineStr">
        <is>
          <t>内容ID</t>
        </is>
      </c>
      <c r="D1" s="1" t="inlineStr">
        <is>
          <t>品质/等级</t>
        </is>
      </c>
      <c r="E1" s="1" t="inlineStr">
        <is>
          <t>开放波次</t>
        </is>
      </c>
      <c r="F1" s="1" t="inlineStr">
        <is>
          <t>关闭波次</t>
        </is>
      </c>
      <c r="G1" s="1" t="inlineStr">
        <is>
          <t>基础权重</t>
        </is>
      </c>
      <c r="H1" s="1" t="inlineStr">
        <is>
          <t>幸运系数</t>
        </is>
      </c>
      <c r="I1" s="1" t="inlineStr">
        <is>
          <t>内容池价格倍率</t>
        </is>
      </c>
      <c r="J1" s="1" t="inlineStr">
        <is>
          <t>重复规则</t>
        </is>
      </c>
      <c r="K1" s="1" t="inlineStr">
        <is>
          <t>替代规则</t>
        </is>
      </c>
      <c r="L1" s="1" t="inlineStr">
        <is>
          <t>期望入口</t>
        </is>
      </c>
      <c r="M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奖励池ID</t>
        </is>
      </c>
      <c r="B1" s="1" t="inlineStr">
        <is>
          <t>来源类型</t>
        </is>
      </c>
      <c r="C1" s="1" t="inlineStr">
        <is>
          <t>来源ID</t>
        </is>
      </c>
      <c r="D1" s="1" t="inlineStr">
        <is>
          <t>击杀经验</t>
        </is>
      </c>
      <c r="E1" s="1" t="inlineStr">
        <is>
          <t>奖励掉落率</t>
        </is>
      </c>
      <c r="F1" s="1" t="inlineStr">
        <is>
          <t>掉落率上限</t>
        </is>
      </c>
      <c r="G1" s="1" t="inlineStr">
        <is>
          <t>产物类型</t>
        </is>
      </c>
      <c r="H1" s="1" t="inlineStr">
        <is>
          <t>产物ID或池</t>
        </is>
      </c>
      <c r="I1" s="1" t="inlineStr">
        <is>
          <t>产物数量/价值</t>
        </is>
      </c>
      <c r="J1" s="1" t="inlineStr">
        <is>
          <t>基础权重</t>
        </is>
      </c>
      <c r="K1" s="1" t="inlineStr">
        <is>
          <t>幸运系数</t>
        </is>
      </c>
      <c r="L1" s="1" t="inlineStr">
        <is>
          <t>品质/等级权重</t>
        </is>
      </c>
      <c r="M1" s="1" t="inlineStr">
        <is>
          <t>期望收益</t>
        </is>
      </c>
      <c r="N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1" t="inlineStr">
        <is>
          <t>校验ID</t>
        </is>
      </c>
      <c r="B1" s="1" t="inlineStr">
        <is>
          <t>波次</t>
        </is>
      </c>
      <c r="C1" s="1" t="inlineStr">
        <is>
          <t>标准构筑</t>
        </is>
      </c>
      <c r="D1" s="1" t="inlineStr">
        <is>
          <t>玩家状态</t>
        </is>
      </c>
      <c r="E1" s="1" t="inlineStr">
        <is>
          <t>武器状态</t>
        </is>
      </c>
      <c r="F1" s="1" t="inlineStr">
        <is>
          <t>饰品状态</t>
        </is>
      </c>
      <c r="G1" s="1" t="inlineStr">
        <is>
          <t>有效单体DPS</t>
        </is>
      </c>
      <c r="H1" s="1" t="inlineStr">
        <is>
          <t>群体等效DPS</t>
        </is>
      </c>
      <c r="I1" s="1" t="inlineStr">
        <is>
          <t>瞬时EHP</t>
        </is>
      </c>
      <c r="J1" s="1" t="inlineStr">
        <is>
          <t>持续生存</t>
        </is>
      </c>
      <c r="K1" s="1" t="inlineStr">
        <is>
          <t>普通怪击杀时间</t>
        </is>
      </c>
      <c r="L1" s="1" t="inlineStr">
        <is>
          <t>重型/精英/Boss击杀时间</t>
        </is>
      </c>
      <c r="M1" s="1" t="inlineStr">
        <is>
          <t>清场压力</t>
        </is>
      </c>
      <c r="N1" s="1" t="inlineStr">
        <is>
          <t>经济偏差</t>
        </is>
      </c>
      <c r="O1" s="1" t="inlineStr">
        <is>
          <t>问题归因</t>
        </is>
      </c>
      <c r="P1" s="1" t="inlineStr">
        <is>
          <t>调整建议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2026-05-14T14:16:06Z</dcterms:created>
  <dcterms:modified xmlns:dcterms="http://purl.org/dc/terms/" xmlns:xsi="http://www.w3.org/2001/XMLSchema-instance" xsi:type="dcterms:W3CDTF">2026-05-14T14:16:06Z</dcterms:modified>
</cp:coreProperties>
</file>