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XR_Projects\unity\Survivors\Docs\"/>
    </mc:Choice>
  </mc:AlternateContent>
  <xr:revisionPtr revIDLastSave="0" documentId="13_ncr:1_{4AB29D78-A0E4-4177-990A-B1B07EB07A7D}" xr6:coauthVersionLast="47" xr6:coauthVersionMax="47" xr10:uidLastSave="{00000000-0000-0000-0000-000000000000}"/>
  <bookViews>
    <workbookView xWindow="1152" yWindow="1152" windowWidth="23040" windowHeight="12120" firstSheet="1" activeTab="7" xr2:uid="{00000000-000D-0000-FFFF-FFFF00000000}"/>
  </bookViews>
  <sheets>
    <sheet name="00_说明" sheetId="1" r:id="rId1"/>
    <sheet name="参数参考" sheetId="2" r:id="rId2"/>
    <sheet name="01_属性价值" sheetId="3" r:id="rId3"/>
    <sheet name="02_升级卡" sheetId="4" r:id="rId4"/>
    <sheet name="03_饰品" sheetId="5" r:id="rId5"/>
    <sheet name="04_武器主表" sheetId="6" r:id="rId6"/>
    <sheet name="05_武器等级" sheetId="7" r:id="rId7"/>
    <sheet name="06_怪物主表" sheetId="8" r:id="rId8"/>
    <sheet name="07_怪物波次池" sheetId="9" r:id="rId9"/>
    <sheet name="08_波次" sheetId="10" r:id="rId10"/>
    <sheet name="09_商店内容池" sheetId="11" r:id="rId11"/>
    <sheet name="10_掉落奖励池" sheetId="12" r:id="rId12"/>
    <sheet name="11_校验汇总" sheetId="13" r:id="rId1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2" l="1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M2" i="12"/>
  <c r="I21" i="10"/>
  <c r="M5" i="13" s="1"/>
  <c r="E21" i="10"/>
  <c r="I20" i="10"/>
  <c r="E20" i="10"/>
  <c r="I19" i="10"/>
  <c r="E19" i="10"/>
  <c r="I18" i="10"/>
  <c r="E18" i="10"/>
  <c r="I17" i="10"/>
  <c r="E17" i="10"/>
  <c r="I16" i="10"/>
  <c r="M4" i="13" s="1"/>
  <c r="E16" i="10"/>
  <c r="I15" i="10"/>
  <c r="E15" i="10"/>
  <c r="I14" i="10"/>
  <c r="E14" i="10"/>
  <c r="I13" i="10"/>
  <c r="E13" i="10"/>
  <c r="I12" i="10"/>
  <c r="E12" i="10"/>
  <c r="I11" i="10"/>
  <c r="M3" i="13" s="1"/>
  <c r="E11" i="10"/>
  <c r="I10" i="10"/>
  <c r="E10" i="10"/>
  <c r="I9" i="10"/>
  <c r="E9" i="10"/>
  <c r="I8" i="10"/>
  <c r="E8" i="10"/>
  <c r="I7" i="10"/>
  <c r="E7" i="10"/>
  <c r="I6" i="10"/>
  <c r="M2" i="13" s="1"/>
  <c r="E6" i="10"/>
  <c r="I5" i="10"/>
  <c r="E5" i="10"/>
  <c r="I4" i="10"/>
  <c r="E4" i="10"/>
  <c r="I3" i="10"/>
  <c r="E3" i="10"/>
  <c r="I2" i="10"/>
  <c r="E2" i="10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U33" i="7"/>
  <c r="V33" i="7" s="1"/>
  <c r="O33" i="7"/>
  <c r="S33" i="7" s="1"/>
  <c r="U32" i="7"/>
  <c r="V32" i="7" s="1"/>
  <c r="O32" i="7"/>
  <c r="S32" i="7" s="1"/>
  <c r="U31" i="7"/>
  <c r="V31" i="7" s="1"/>
  <c r="O31" i="7"/>
  <c r="S31" i="7" s="1"/>
  <c r="U30" i="7"/>
  <c r="V30" i="7" s="1"/>
  <c r="O30" i="7"/>
  <c r="S30" i="7" s="1"/>
  <c r="U29" i="7"/>
  <c r="V29" i="7" s="1"/>
  <c r="O29" i="7"/>
  <c r="S29" i="7" s="1"/>
  <c r="U28" i="7"/>
  <c r="V28" i="7" s="1"/>
  <c r="O28" i="7"/>
  <c r="S28" i="7" s="1"/>
  <c r="U27" i="7"/>
  <c r="V27" i="7" s="1"/>
  <c r="O27" i="7"/>
  <c r="S27" i="7" s="1"/>
  <c r="U26" i="7"/>
  <c r="V26" i="7" s="1"/>
  <c r="O26" i="7"/>
  <c r="S26" i="7" s="1"/>
  <c r="U25" i="7"/>
  <c r="V25" i="7" s="1"/>
  <c r="O25" i="7"/>
  <c r="S25" i="7" s="1"/>
  <c r="U24" i="7"/>
  <c r="V24" i="7" s="1"/>
  <c r="O24" i="7"/>
  <c r="S24" i="7" s="1"/>
  <c r="U23" i="7"/>
  <c r="V23" i="7" s="1"/>
  <c r="O23" i="7"/>
  <c r="S23" i="7" s="1"/>
  <c r="U22" i="7"/>
  <c r="V22" i="7" s="1"/>
  <c r="O22" i="7"/>
  <c r="S22" i="7" s="1"/>
  <c r="U21" i="7"/>
  <c r="V21" i="7" s="1"/>
  <c r="O21" i="7"/>
  <c r="S21" i="7" s="1"/>
  <c r="U20" i="7"/>
  <c r="V20" i="7" s="1"/>
  <c r="O20" i="7"/>
  <c r="S20" i="7" s="1"/>
  <c r="U19" i="7"/>
  <c r="V19" i="7" s="1"/>
  <c r="O19" i="7"/>
  <c r="S19" i="7" s="1"/>
  <c r="U18" i="7"/>
  <c r="V18" i="7" s="1"/>
  <c r="O18" i="7"/>
  <c r="S18" i="7" s="1"/>
  <c r="U17" i="7"/>
  <c r="V17" i="7" s="1"/>
  <c r="O17" i="7"/>
  <c r="S17" i="7" s="1"/>
  <c r="U16" i="7"/>
  <c r="V16" i="7" s="1"/>
  <c r="O16" i="7"/>
  <c r="S16" i="7" s="1"/>
  <c r="U15" i="7"/>
  <c r="V15" i="7" s="1"/>
  <c r="O15" i="7"/>
  <c r="S15" i="7" s="1"/>
  <c r="U14" i="7"/>
  <c r="V14" i="7" s="1"/>
  <c r="O14" i="7"/>
  <c r="S14" i="7" s="1"/>
  <c r="U13" i="7"/>
  <c r="V13" i="7" s="1"/>
  <c r="O13" i="7"/>
  <c r="S13" i="7" s="1"/>
  <c r="U12" i="7"/>
  <c r="V12" i="7" s="1"/>
  <c r="O12" i="7"/>
  <c r="S12" i="7" s="1"/>
  <c r="U11" i="7"/>
  <c r="V11" i="7" s="1"/>
  <c r="O11" i="7"/>
  <c r="S11" i="7" s="1"/>
  <c r="U10" i="7"/>
  <c r="V10" i="7" s="1"/>
  <c r="O10" i="7"/>
  <c r="S10" i="7" s="1"/>
  <c r="U9" i="7"/>
  <c r="V9" i="7" s="1"/>
  <c r="O9" i="7"/>
  <c r="S9" i="7" s="1"/>
  <c r="U8" i="7"/>
  <c r="V8" i="7" s="1"/>
  <c r="O8" i="7"/>
  <c r="S8" i="7" s="1"/>
  <c r="U7" i="7"/>
  <c r="V7" i="7" s="1"/>
  <c r="O7" i="7"/>
  <c r="S7" i="7" s="1"/>
  <c r="U6" i="7"/>
  <c r="V6" i="7" s="1"/>
  <c r="O6" i="7"/>
  <c r="S6" i="7" s="1"/>
  <c r="U5" i="7"/>
  <c r="V5" i="7" s="1"/>
  <c r="O5" i="7"/>
  <c r="S5" i="7" s="1"/>
  <c r="U4" i="7"/>
  <c r="V4" i="7" s="1"/>
  <c r="O4" i="7"/>
  <c r="S4" i="7" s="1"/>
  <c r="U3" i="7"/>
  <c r="V3" i="7" s="1"/>
  <c r="O3" i="7"/>
  <c r="S3" i="7" s="1"/>
  <c r="U2" i="7"/>
  <c r="V2" i="7" s="1"/>
  <c r="O2" i="7"/>
  <c r="S2" i="7" s="1"/>
  <c r="K41" i="5"/>
  <c r="L41" i="5" s="1"/>
  <c r="M41" i="5" s="1"/>
  <c r="K40" i="5"/>
  <c r="L40" i="5" s="1"/>
  <c r="M40" i="5" s="1"/>
  <c r="K39" i="5"/>
  <c r="L39" i="5" s="1"/>
  <c r="M39" i="5" s="1"/>
  <c r="K38" i="5"/>
  <c r="L38" i="5" s="1"/>
  <c r="M38" i="5" s="1"/>
  <c r="K37" i="5"/>
  <c r="L37" i="5" s="1"/>
  <c r="M37" i="5" s="1"/>
  <c r="K36" i="5"/>
  <c r="L36" i="5" s="1"/>
  <c r="M36" i="5" s="1"/>
  <c r="K35" i="5"/>
  <c r="L35" i="5" s="1"/>
  <c r="M35" i="5" s="1"/>
  <c r="K34" i="5"/>
  <c r="L34" i="5" s="1"/>
  <c r="M34" i="5" s="1"/>
  <c r="K33" i="5"/>
  <c r="L33" i="5" s="1"/>
  <c r="M33" i="5" s="1"/>
  <c r="K32" i="5"/>
  <c r="L32" i="5" s="1"/>
  <c r="M32" i="5" s="1"/>
  <c r="K31" i="5"/>
  <c r="L31" i="5" s="1"/>
  <c r="M31" i="5" s="1"/>
  <c r="K30" i="5"/>
  <c r="L30" i="5" s="1"/>
  <c r="M30" i="5" s="1"/>
  <c r="K29" i="5"/>
  <c r="L29" i="5" s="1"/>
  <c r="M29" i="5" s="1"/>
  <c r="K28" i="5"/>
  <c r="L28" i="5" s="1"/>
  <c r="M28" i="5" s="1"/>
  <c r="K27" i="5"/>
  <c r="L27" i="5" s="1"/>
  <c r="M27" i="5" s="1"/>
  <c r="K26" i="5"/>
  <c r="L26" i="5" s="1"/>
  <c r="M26" i="5" s="1"/>
  <c r="K25" i="5"/>
  <c r="L25" i="5" s="1"/>
  <c r="M25" i="5" s="1"/>
  <c r="K24" i="5"/>
  <c r="L24" i="5" s="1"/>
  <c r="M24" i="5" s="1"/>
  <c r="K23" i="5"/>
  <c r="L23" i="5" s="1"/>
  <c r="M23" i="5" s="1"/>
  <c r="K22" i="5"/>
  <c r="L22" i="5" s="1"/>
  <c r="M22" i="5" s="1"/>
  <c r="K21" i="5"/>
  <c r="L21" i="5" s="1"/>
  <c r="M21" i="5" s="1"/>
  <c r="K20" i="5"/>
  <c r="L20" i="5" s="1"/>
  <c r="M20" i="5" s="1"/>
  <c r="K19" i="5"/>
  <c r="L19" i="5" s="1"/>
  <c r="M19" i="5" s="1"/>
  <c r="K18" i="5"/>
  <c r="L18" i="5" s="1"/>
  <c r="M18" i="5" s="1"/>
  <c r="K17" i="5"/>
  <c r="L17" i="5" s="1"/>
  <c r="M17" i="5" s="1"/>
  <c r="K16" i="5"/>
  <c r="L16" i="5" s="1"/>
  <c r="M16" i="5" s="1"/>
  <c r="K15" i="5"/>
  <c r="L15" i="5" s="1"/>
  <c r="M15" i="5" s="1"/>
  <c r="K14" i="5"/>
  <c r="L14" i="5" s="1"/>
  <c r="M14" i="5" s="1"/>
  <c r="K13" i="5"/>
  <c r="L13" i="5" s="1"/>
  <c r="M13" i="5" s="1"/>
  <c r="K12" i="5"/>
  <c r="L12" i="5" s="1"/>
  <c r="M12" i="5" s="1"/>
  <c r="K11" i="5"/>
  <c r="L11" i="5" s="1"/>
  <c r="M11" i="5" s="1"/>
  <c r="K10" i="5"/>
  <c r="L10" i="5" s="1"/>
  <c r="M10" i="5" s="1"/>
  <c r="K9" i="5"/>
  <c r="L9" i="5" s="1"/>
  <c r="M9" i="5" s="1"/>
  <c r="K8" i="5"/>
  <c r="L8" i="5" s="1"/>
  <c r="M8" i="5" s="1"/>
  <c r="K7" i="5"/>
  <c r="L7" i="5" s="1"/>
  <c r="M7" i="5" s="1"/>
  <c r="K6" i="5"/>
  <c r="L6" i="5" s="1"/>
  <c r="M6" i="5" s="1"/>
  <c r="K5" i="5"/>
  <c r="L5" i="5" s="1"/>
  <c r="M5" i="5" s="1"/>
  <c r="K4" i="5"/>
  <c r="L4" i="5" s="1"/>
  <c r="M4" i="5" s="1"/>
  <c r="K3" i="5"/>
  <c r="L3" i="5" s="1"/>
  <c r="M3" i="5" s="1"/>
  <c r="K2" i="5"/>
  <c r="L2" i="5" s="1"/>
  <c r="M2" i="5" s="1"/>
  <c r="J80" i="4"/>
  <c r="L80" i="4" s="1"/>
  <c r="J79" i="4"/>
  <c r="L79" i="4" s="1"/>
  <c r="J78" i="4"/>
  <c r="L78" i="4" s="1"/>
  <c r="J77" i="4"/>
  <c r="L77" i="4" s="1"/>
  <c r="J76" i="4"/>
  <c r="L76" i="4" s="1"/>
  <c r="J75" i="4"/>
  <c r="L75" i="4" s="1"/>
  <c r="J74" i="4"/>
  <c r="L74" i="4" s="1"/>
  <c r="J73" i="4"/>
  <c r="L73" i="4" s="1"/>
  <c r="J72" i="4"/>
  <c r="L72" i="4" s="1"/>
  <c r="J71" i="4"/>
  <c r="L71" i="4" s="1"/>
  <c r="J70" i="4"/>
  <c r="L70" i="4" s="1"/>
  <c r="J69" i="4"/>
  <c r="L69" i="4" s="1"/>
  <c r="J68" i="4"/>
  <c r="L68" i="4" s="1"/>
  <c r="J67" i="4"/>
  <c r="L67" i="4" s="1"/>
  <c r="J66" i="4"/>
  <c r="L66" i="4" s="1"/>
  <c r="J65" i="4"/>
  <c r="L65" i="4" s="1"/>
  <c r="J64" i="4"/>
  <c r="L64" i="4" s="1"/>
  <c r="J63" i="4"/>
  <c r="L63" i="4" s="1"/>
  <c r="J62" i="4"/>
  <c r="L62" i="4" s="1"/>
  <c r="J61" i="4"/>
  <c r="L61" i="4" s="1"/>
  <c r="J60" i="4"/>
  <c r="L60" i="4" s="1"/>
  <c r="J59" i="4"/>
  <c r="L59" i="4" s="1"/>
  <c r="J58" i="4"/>
  <c r="L58" i="4" s="1"/>
  <c r="J57" i="4"/>
  <c r="L57" i="4" s="1"/>
  <c r="J56" i="4"/>
  <c r="L56" i="4" s="1"/>
  <c r="J55" i="4"/>
  <c r="L55" i="4" s="1"/>
  <c r="J54" i="4"/>
  <c r="L54" i="4" s="1"/>
  <c r="J53" i="4"/>
  <c r="L53" i="4" s="1"/>
  <c r="J52" i="4"/>
  <c r="L52" i="4" s="1"/>
  <c r="J51" i="4"/>
  <c r="L51" i="4" s="1"/>
  <c r="J50" i="4"/>
  <c r="L50" i="4" s="1"/>
  <c r="J49" i="4"/>
  <c r="L49" i="4" s="1"/>
  <c r="J48" i="4"/>
  <c r="L48" i="4" s="1"/>
  <c r="J47" i="4"/>
  <c r="L47" i="4" s="1"/>
  <c r="J46" i="4"/>
  <c r="L46" i="4" s="1"/>
  <c r="J45" i="4"/>
  <c r="L45" i="4" s="1"/>
  <c r="J44" i="4"/>
  <c r="L44" i="4" s="1"/>
  <c r="J43" i="4"/>
  <c r="L43" i="4" s="1"/>
  <c r="J42" i="4"/>
  <c r="L42" i="4" s="1"/>
  <c r="J41" i="4"/>
  <c r="L41" i="4" s="1"/>
  <c r="J40" i="4"/>
  <c r="L40" i="4" s="1"/>
  <c r="J39" i="4"/>
  <c r="L39" i="4" s="1"/>
  <c r="J38" i="4"/>
  <c r="L38" i="4" s="1"/>
  <c r="J37" i="4"/>
  <c r="L37" i="4" s="1"/>
  <c r="J36" i="4"/>
  <c r="L36" i="4" s="1"/>
  <c r="J35" i="4"/>
  <c r="L35" i="4" s="1"/>
  <c r="J34" i="4"/>
  <c r="L34" i="4" s="1"/>
  <c r="J33" i="4"/>
  <c r="L33" i="4" s="1"/>
  <c r="J32" i="4"/>
  <c r="L32" i="4" s="1"/>
  <c r="J31" i="4"/>
  <c r="L31" i="4" s="1"/>
  <c r="J30" i="4"/>
  <c r="L30" i="4" s="1"/>
  <c r="J29" i="4"/>
  <c r="L29" i="4" s="1"/>
  <c r="J28" i="4"/>
  <c r="L28" i="4" s="1"/>
  <c r="J27" i="4"/>
  <c r="L27" i="4" s="1"/>
  <c r="J26" i="4"/>
  <c r="L26" i="4" s="1"/>
  <c r="J25" i="4"/>
  <c r="L25" i="4" s="1"/>
  <c r="J24" i="4"/>
  <c r="L24" i="4" s="1"/>
  <c r="J23" i="4"/>
  <c r="L23" i="4" s="1"/>
  <c r="J22" i="4"/>
  <c r="L22" i="4" s="1"/>
  <c r="J21" i="4"/>
  <c r="L21" i="4" s="1"/>
  <c r="J20" i="4"/>
  <c r="L20" i="4" s="1"/>
  <c r="J19" i="4"/>
  <c r="L19" i="4" s="1"/>
  <c r="J18" i="4"/>
  <c r="L18" i="4" s="1"/>
  <c r="J17" i="4"/>
  <c r="L17" i="4" s="1"/>
  <c r="J16" i="4"/>
  <c r="L16" i="4" s="1"/>
  <c r="J15" i="4"/>
  <c r="L15" i="4" s="1"/>
  <c r="J14" i="4"/>
  <c r="L14" i="4" s="1"/>
  <c r="J13" i="4"/>
  <c r="L13" i="4" s="1"/>
  <c r="J12" i="4"/>
  <c r="L12" i="4" s="1"/>
  <c r="J11" i="4"/>
  <c r="L11" i="4" s="1"/>
  <c r="J10" i="4"/>
  <c r="L10" i="4" s="1"/>
  <c r="J9" i="4"/>
  <c r="L9" i="4" s="1"/>
  <c r="J8" i="4"/>
  <c r="L8" i="4" s="1"/>
  <c r="J7" i="4"/>
  <c r="L7" i="4" s="1"/>
  <c r="J6" i="4"/>
  <c r="L6" i="4" s="1"/>
  <c r="J5" i="4"/>
  <c r="L5" i="4" s="1"/>
  <c r="J4" i="4"/>
  <c r="L4" i="4" s="1"/>
  <c r="J3" i="4"/>
  <c r="L3" i="4" s="1"/>
  <c r="J2" i="4"/>
  <c r="L2" i="4" s="1"/>
  <c r="R11" i="8"/>
  <c r="Q11" i="8"/>
  <c r="R10" i="8"/>
  <c r="Q10" i="8"/>
  <c r="R9" i="8"/>
  <c r="Q9" i="8"/>
  <c r="R8" i="8"/>
  <c r="Q8" i="8"/>
  <c r="R7" i="8"/>
  <c r="Q7" i="8"/>
  <c r="R6" i="8"/>
  <c r="Q6" i="8"/>
  <c r="R5" i="8"/>
  <c r="Q5" i="8"/>
  <c r="R4" i="8"/>
  <c r="Q4" i="8"/>
  <c r="R3" i="8"/>
  <c r="Q3" i="8"/>
  <c r="R2" i="8"/>
  <c r="Q2" i="8"/>
  <c r="J38" i="9" l="1"/>
  <c r="J28" i="9"/>
  <c r="J18" i="9"/>
  <c r="J37" i="9"/>
  <c r="J27" i="9"/>
  <c r="J36" i="9"/>
  <c r="J26" i="9"/>
  <c r="J17" i="9"/>
  <c r="J16" i="9"/>
  <c r="J35" i="9"/>
  <c r="J25" i="9"/>
  <c r="J34" i="9"/>
  <c r="J8" i="9"/>
  <c r="J15" i="9"/>
  <c r="J24" i="9"/>
  <c r="J23" i="9"/>
  <c r="J9" i="9"/>
  <c r="J14" i="9"/>
  <c r="J33" i="9"/>
  <c r="J13" i="9"/>
  <c r="J7" i="9"/>
  <c r="J22" i="9"/>
  <c r="J32" i="9"/>
  <c r="J12" i="9"/>
  <c r="J6" i="9"/>
  <c r="J21" i="9"/>
  <c r="J31" i="9"/>
  <c r="J11" i="9"/>
  <c r="J3" i="9"/>
  <c r="J20" i="9"/>
  <c r="J5" i="9"/>
  <c r="J30" i="9"/>
  <c r="J10" i="9"/>
  <c r="J19" i="9"/>
  <c r="J4" i="9"/>
  <c r="J2" i="9"/>
  <c r="J29" i="9"/>
</calcChain>
</file>

<file path=xl/sharedStrings.xml><?xml version="1.0" encoding="utf-8"?>
<sst xmlns="http://schemas.openxmlformats.org/spreadsheetml/2006/main" count="3138" uniqueCount="1297">
  <si>
    <t>怪物ID</t>
  </si>
  <si>
    <t>名称</t>
  </si>
  <si>
    <t>定位</t>
  </si>
  <si>
    <t>MaxHealth</t>
  </si>
  <si>
    <t>Attack</t>
  </si>
  <si>
    <t>AttackSpeed</t>
  </si>
  <si>
    <t>MoveSpeed</t>
  </si>
  <si>
    <t>DetectionRange</t>
  </si>
  <si>
    <t>AttackRange</t>
  </si>
  <si>
    <t>Armor</t>
  </si>
  <si>
    <t>KnockbackResistance</t>
  </si>
  <si>
    <t>行为参数</t>
  </si>
  <si>
    <t>奖励基准</t>
  </si>
  <si>
    <t>默认标签</t>
  </si>
  <si>
    <t>命中可靠性</t>
  </si>
  <si>
    <t>预期接触率</t>
  </si>
  <si>
    <t>单体生存压力</t>
  </si>
  <si>
    <t>单体伤害压力</t>
  </si>
  <si>
    <t>备注</t>
  </si>
  <si>
    <t>SkeletonEnemy</t>
  </si>
  <si>
    <t>骷髅</t>
  </si>
  <si>
    <t>标准近战小怪</t>
  </si>
  <si>
    <t>SkeletonEnemySO；骷髅类近战使用 AttackRange 半圆做入场检测和提交命中覆盖；DetectionRange 仅保留近战量级，不按感知距离放大；结构来自现有资产，面板为设计版</t>
  </si>
  <si>
    <t>经验1；掉落18%；普通奖励池</t>
  </si>
  <si>
    <t>Normal</t>
  </si>
  <si>
    <t>1波基准普通近战，大部分1级武器应能一击或接近一击击杀。DetectionRange 不决定追击。</t>
  </si>
  <si>
    <t>EvilSlimeEnemy</t>
  </si>
  <si>
    <t>邪恶史莱姆</t>
  </si>
  <si>
    <t>快速近战小怪</t>
  </si>
  <si>
    <t>经验1；掉落12%；普通奖励池</t>
  </si>
  <si>
    <t>Normal;Fast</t>
  </si>
  <si>
    <t>前期速度压力单位，低血低伤，用接触率制造风险。DetectionRange 不决定追击。</t>
  </si>
  <si>
    <t>WormEnemy</t>
  </si>
  <si>
    <t>蠕虫</t>
  </si>
  <si>
    <t>低频远程风筝怪</t>
  </si>
  <si>
    <t>WormEnemySO；远程投射物用 DetectionRange 做攻击释放入场，AttackRange 决定投射物最大飞行距离；后撤距离按检测范围比例配置；结构来自现有资产，面板为设计版</t>
  </si>
  <si>
    <t>Ranged</t>
  </si>
  <si>
    <t>远程骚扰，会后撤，主要考验追击与走位。DetectionRange 只代表可开始攻击的距离。</t>
  </si>
  <si>
    <t>FlyForestEnemy</t>
  </si>
  <si>
    <t>森林飞虫</t>
  </si>
  <si>
    <t>标准远程风筝怪</t>
  </si>
  <si>
    <t>FlyForestEnemySO；绕圈风筝；DetectionRange 做射击释放入场，AttackRange 决定投射物最大飞行距离；结构来自现有资产，面板为设计版</t>
  </si>
  <si>
    <t>常规远程怪模板，可比 Worm 更稳定进入池。DetectionRange 不是发现/追击距离。</t>
  </si>
  <si>
    <t>EvilEyeEnemy</t>
  </si>
  <si>
    <t>邪眼</t>
  </si>
  <si>
    <t>脆皮高威胁远程</t>
  </si>
  <si>
    <t>WormEnemySO；远程投射物用 DetectionRange 做攻击释放入场，AttackRange 决定投射物最大飞行距离；后撤风筝；结构来自现有资产，面板为设计版</t>
  </si>
  <si>
    <t>Ranged;Special</t>
  </si>
  <si>
    <t>低血高威胁远程，少量投放，不作为密度主体。DetectionRange 只代表可开始攻击的距离。</t>
  </si>
  <si>
    <t>SkeletonMeteorhammerEnemy</t>
  </si>
  <si>
    <t>骷髅流星锤</t>
  </si>
  <si>
    <t>中距离重型近战</t>
  </si>
  <si>
    <t>SkeletonMeteorhammerEnemySO；骷髅类近战使用 AttackRange 半圆做入场检测；两段提交分别用 AttackRange 倍率计算覆盖；DetectionRange 仅略高于基础覆盖；结构来自现有资产，面板为设计版</t>
  </si>
  <si>
    <t>经验2；掉落30%；重型奖励池</t>
  </si>
  <si>
    <t>Heavy;Special</t>
  </si>
  <si>
    <t>重型/特殊近战，一型负责中距离扫击压力。DetectionRange 不决定追击。</t>
  </si>
  <si>
    <t>SkeletonMeteorhammer2Enemy</t>
  </si>
  <si>
    <t>骷髅流星锤二型</t>
  </si>
  <si>
    <t>长条扫击特殊近战</t>
  </si>
  <si>
    <t>SkeletonMeteorhammer2EnemySO；第一段用 AttackRange 半圆，第二段用 AttackRange 计算前方矩形长度；DetectionRange 仅略高于基础覆盖；结构来自现有资产，面板为设计版</t>
  </si>
  <si>
    <t>经验2；掉落32%；重型奖励池</t>
  </si>
  <si>
    <t>一型的后期替代/升级生态位，攻击覆盖形态更危险，基础伤害略保守。DetectionRange 不决定追击。</t>
  </si>
  <si>
    <t>BlueGolemEnemy</t>
  </si>
  <si>
    <t>蓝石头人</t>
  </si>
  <si>
    <t>冲锋重型怪</t>
  </si>
  <si>
    <t>GolemEnemySO；重型普攻用 DetectionRange 做攻击释放入场，提交后用 AttackRange 做近战圆形覆盖；DetectionRange 只略高于普攻覆盖，避免过早挥空；冲锋为独立行为；结构来自现有资产，面板为设计版</t>
  </si>
  <si>
    <t>经验2；掉落35%；重型奖励池</t>
  </si>
  <si>
    <t>高生命、高抗击退、冲锋破站位。DetectionRange 只代表可开始普攻的距离。</t>
  </si>
  <si>
    <t>OrangeGolemEnemy</t>
  </si>
  <si>
    <t>橙石头人</t>
  </si>
  <si>
    <t>高压重型/准精英</t>
  </si>
  <si>
    <t>GolemEnemySO；高压重型普攻用 DetectionRange 做攻击释放入场，提交后用 AttackRange 做近战圆形覆盖；DetectionRange 只略高于普攻覆盖，避免过早挥空；冲锋为独立行为；结构来自现有资产，面板为设计版</t>
  </si>
  <si>
    <t>经验4；掉落100%；精英奖励池</t>
  </si>
  <si>
    <t>Elite;Heavy</t>
  </si>
  <si>
    <t>后期低频高压单位，承担准精英压力。DetectionRange 只代表可开始普攻的距离。</t>
  </si>
  <si>
    <t>MechaStoneBossEnemy</t>
  </si>
  <si>
    <t>机械石像Boss</t>
  </si>
  <si>
    <t>Boss</t>
  </si>
  <si>
    <t>GolemMechaStoneBossSO；近战用 MeleeRangeMultiplier 同时放大入场和近战覆盖；射击用 ShootRangeMultiplier 同时放大入场和投射物最大飞行距离；激光用 LaserLength/技能参数控制实际覆盖；结构来自现有资产，面板为设计版</t>
  </si>
  <si>
    <t>经验12；固定Boss奖励</t>
  </si>
  <si>
    <t>BossLike</t>
  </si>
  <si>
    <t>节点Boss，多阶段远近混合压力。远程射击必须让倍率吃到投射物最大距离，否则会远处开火但弹体过早消失。</t>
  </si>
  <si>
    <t>用途</t>
  </si>
  <si>
    <t>说明</t>
  </si>
  <si>
    <t>来源</t>
  </si>
  <si>
    <t>基于 Docs/玩法数值规范.md 当前数值口径生成。</t>
  </si>
  <si>
    <t>编辑规则</t>
  </si>
  <si>
    <t>配置列可以手填；校验列可由公式计算，资产落地前需要检查 BP、价格、权重和开放波次。</t>
  </si>
  <si>
    <t>当前已填</t>
  </si>
  <si>
    <t>属性价值、升级卡、饰品。</t>
  </si>
  <si>
    <t>当前仅建表头</t>
  </si>
  <si>
    <t>武器主表、武器等级表、怪物主表、怪物波次池、波次、商店内容池、掉落奖励池、校验汇总。</t>
  </si>
  <si>
    <t>注意</t>
  </si>
  <si>
    <t>本 Excel 是数值设计表，不代表已经写入 Unity 资产。</t>
  </si>
  <si>
    <t>类型</t>
  </si>
  <si>
    <t>值1</t>
  </si>
  <si>
    <t>值2</t>
  </si>
  <si>
    <t>升级卡稀有度BP</t>
  </si>
  <si>
    <t>Common</t>
  </si>
  <si>
    <t>允许约 10% 浮动</t>
  </si>
  <si>
    <t>Rare</t>
  </si>
  <si>
    <t>Epic</t>
  </si>
  <si>
    <t>Legendary</t>
  </si>
  <si>
    <t>饰品品质BP</t>
  </si>
  <si>
    <t>参考价 15-28 金币</t>
  </si>
  <si>
    <t>参考价 28-45 金币</t>
  </si>
  <si>
    <t>参考价 45-70 金币</t>
  </si>
  <si>
    <t>参考价 70-125 金币</t>
  </si>
  <si>
    <t>金币购买力</t>
  </si>
  <si>
    <t>1 金币</t>
  </si>
  <si>
    <t>1 金币 = 4 BP</t>
  </si>
  <si>
    <t>属性</t>
  </si>
  <si>
    <t>配置单位</t>
  </si>
  <si>
    <t>常规属性</t>
  </si>
  <si>
    <t>价值/点</t>
  </si>
  <si>
    <t>消费侧边界</t>
  </si>
  <si>
    <t>点数</t>
  </si>
  <si>
    <t>否</t>
  </si>
  <si>
    <t>最终有效攻击不低于 0</t>
  </si>
  <si>
    <t>非常规升级卡属性，主要用于武器/饰品。</t>
  </si>
  <si>
    <t>Damage</t>
  </si>
  <si>
    <t>百分比点</t>
  </si>
  <si>
    <t>是</t>
  </si>
  <si>
    <t>最终伤害不低于 0</t>
  </si>
  <si>
    <t>通用输出锚点。</t>
  </si>
  <si>
    <t>MeleeAttack</t>
  </si>
  <si>
    <t>最终武器伤害不低于 0</t>
  </si>
  <si>
    <t>受武器收益率影响。</t>
  </si>
  <si>
    <t>RangedAttack</t>
  </si>
  <si>
    <t>MagicAttack</t>
  </si>
  <si>
    <t>SummonAttack</t>
  </si>
  <si>
    <t>攻速点</t>
  </si>
  <si>
    <t>最终有效攻击速度不低于 1</t>
  </si>
  <si>
    <t>高频触发武器需靠收益率限制。</t>
  </si>
  <si>
    <t>CriticalChance</t>
  </si>
  <si>
    <t>0%-100%</t>
  </si>
  <si>
    <t>乘法入口，权重保守。</t>
  </si>
  <si>
    <t>CriticalPercent</t>
  </si>
  <si>
    <t>最终暴击倍率不低于 1x</t>
  </si>
  <si>
    <t>后期暴击属性，前期低暴击率应折扣。</t>
  </si>
  <si>
    <t>距离点/秒</t>
  </si>
  <si>
    <t>按局部最小值保护</t>
  </si>
  <si>
    <t>手感和走位属性。</t>
  </si>
  <si>
    <t>最低为 1</t>
  </si>
  <si>
    <t>生命锚点。</t>
  </si>
  <si>
    <t>距离点</t>
  </si>
  <si>
    <t>当前无统一下限</t>
  </si>
  <si>
    <t>怪物/索敌配置。</t>
  </si>
  <si>
    <t>HealthRecoverySpeed</t>
  </si>
  <si>
    <t>回复点</t>
  </si>
  <si>
    <t>最低为 0</t>
  </si>
  <si>
    <t>当前实战稳定性高于吸血。</t>
  </si>
  <si>
    <t>结算下限 -95，总减伤上限 95%</t>
  </si>
  <si>
    <t>单点价值高。</t>
  </si>
  <si>
    <t>Luck</t>
  </si>
  <si>
    <t>无统一边界</t>
  </si>
  <si>
    <t>同时影响奖励和商店权重。</t>
  </si>
  <si>
    <t>Dodge</t>
  </si>
  <si>
    <t>有效 0%-50%</t>
  </si>
  <si>
    <t>波动生存属性。</t>
  </si>
  <si>
    <t>LifeSteal</t>
  </si>
  <si>
    <t>当前实战低稳定性。</t>
  </si>
  <si>
    <t>PickupRadius</t>
  </si>
  <si>
    <t>拾取效率属性。</t>
  </si>
  <si>
    <t>ProjectileSpeed</t>
  </si>
  <si>
    <t>投射物手感属性。</t>
  </si>
  <si>
    <t>最终攻击距离不低于 0.1 格</t>
  </si>
  <si>
    <t>影响安全距离和覆盖。</t>
  </si>
  <si>
    <t>ProjectilePierceCount</t>
  </si>
  <si>
    <t>最终不低于 0，向下取整</t>
  </si>
  <si>
    <t>机制入口。</t>
  </si>
  <si>
    <t>KnockbackStrength</t>
  </si>
  <si>
    <t>最终不低于 0</t>
  </si>
  <si>
    <t>高频武器应保守。</t>
  </si>
  <si>
    <t>怪物抗性属性。</t>
  </si>
  <si>
    <t>ExperienceGain</t>
  </si>
  <si>
    <t>越早越强。</t>
  </si>
  <si>
    <t>ShopPriceDiscount</t>
  </si>
  <si>
    <t>最高 50% 折扣</t>
  </si>
  <si>
    <t>受剩余消费量影响。</t>
  </si>
  <si>
    <t>WaveGoldRewardBonus</t>
  </si>
  <si>
    <t>DamageReduction</t>
  </si>
  <si>
    <t>0%-50%</t>
  </si>
  <si>
    <t>与护甲/闪避/回复复合放大。</t>
  </si>
  <si>
    <t>HealingPower</t>
  </si>
  <si>
    <t>当前未形成统一消费口径</t>
  </si>
  <si>
    <t>依赖已有治疗来源。</t>
  </si>
  <si>
    <t>WeaponSlotCount</t>
  </si>
  <si>
    <t>不低于当前已装备槽位数</t>
  </si>
  <si>
    <t>终局构筑容量机制。</t>
  </si>
  <si>
    <t>卡片ID</t>
  </si>
  <si>
    <t>卡片族ID</t>
  </si>
  <si>
    <t>显示名</t>
  </si>
  <si>
    <t>方向</t>
  </si>
  <si>
    <t>稀有度</t>
  </si>
  <si>
    <t>数值</t>
  </si>
  <si>
    <t>属性BP</t>
  </si>
  <si>
    <t>条件修正</t>
  </si>
  <si>
    <t>修正后BP</t>
  </si>
  <si>
    <t>稀有度目标BP</t>
  </si>
  <si>
    <t>BP偏差</t>
  </si>
  <si>
    <t>开放波次</t>
  </si>
  <si>
    <t>基础权重</t>
  </si>
  <si>
    <t>已选权重调整</t>
  </si>
  <si>
    <t>重复口径</t>
  </si>
  <si>
    <t>Upgrade_Damage_Common</t>
  </si>
  <si>
    <t>Upgrade_Damage</t>
  </si>
  <si>
    <t>伤害强化-普通</t>
  </si>
  <si>
    <t>输出</t>
  </si>
  <si>
    <t>1+</t>
  </si>
  <si>
    <t>可重复</t>
  </si>
  <si>
    <t>最通用输出卡，作为输出预算锚点。</t>
  </si>
  <si>
    <t>Upgrade_Damage_Rare</t>
  </si>
  <si>
    <t>伤害强化-稀有</t>
  </si>
  <si>
    <t>Upgrade_Damage_Epic</t>
  </si>
  <si>
    <t>伤害强化-史诗</t>
  </si>
  <si>
    <t>Upgrade_Damage_Legendary</t>
  </si>
  <si>
    <t>伤害强化-传说</t>
  </si>
  <si>
    <t>Upgrade_AttackSpeed_Common</t>
  </si>
  <si>
    <t>Upgrade_AttackSpeed</t>
  </si>
  <si>
    <t>攻速强化-普通</t>
  </si>
  <si>
    <t>高频触发武器会放大该属性，依赖武器收益率限制。</t>
  </si>
  <si>
    <t>Upgrade_AttackSpeed_Rare</t>
  </si>
  <si>
    <t>攻速强化-稀有</t>
  </si>
  <si>
    <t>Upgrade_AttackSpeed_Epic</t>
  </si>
  <si>
    <t>攻速强化-史诗</t>
  </si>
  <si>
    <t>Upgrade_AttackSpeed_Legendary</t>
  </si>
  <si>
    <t>攻速强化-传说</t>
  </si>
  <si>
    <t>Upgrade_MeleeAttack_Common</t>
  </si>
  <si>
    <t>Upgrade_MeleeAttack</t>
  </si>
  <si>
    <t>近战训练-普通</t>
  </si>
  <si>
    <t>四类攻击卡权重略低于通用输出卡。</t>
  </si>
  <si>
    <t>Upgrade_MeleeAttack_Rare</t>
  </si>
  <si>
    <t>近战训练-稀有</t>
  </si>
  <si>
    <t>Upgrade_MeleeAttack_Epic</t>
  </si>
  <si>
    <t>近战训练-史诗</t>
  </si>
  <si>
    <t>Upgrade_MeleeAttack_Legendary</t>
  </si>
  <si>
    <t>近战训练-传说</t>
  </si>
  <si>
    <t>Upgrade_RangedAttack_Common</t>
  </si>
  <si>
    <t>Upgrade_RangedAttack</t>
  </si>
  <si>
    <t>远程训练-普通</t>
  </si>
  <si>
    <t>Upgrade_RangedAttack_Rare</t>
  </si>
  <si>
    <t>远程训练-稀有</t>
  </si>
  <si>
    <t>Upgrade_RangedAttack_Epic</t>
  </si>
  <si>
    <t>远程训练-史诗</t>
  </si>
  <si>
    <t>Upgrade_RangedAttack_Legendary</t>
  </si>
  <si>
    <t>远程训练-传说</t>
  </si>
  <si>
    <t>Upgrade_MagicAttack_Common</t>
  </si>
  <si>
    <t>Upgrade_MagicAttack</t>
  </si>
  <si>
    <t>魔法训练-普通</t>
  </si>
  <si>
    <t>Upgrade_MagicAttack_Rare</t>
  </si>
  <si>
    <t>魔法训练-稀有</t>
  </si>
  <si>
    <t>Upgrade_MagicAttack_Epic</t>
  </si>
  <si>
    <t>魔法训练-史诗</t>
  </si>
  <si>
    <t>Upgrade_MagicAttack_Legendary</t>
  </si>
  <si>
    <t>魔法训练-传说</t>
  </si>
  <si>
    <t>Upgrade_SummonAttack_Common</t>
  </si>
  <si>
    <t>Upgrade_SummonAttack</t>
  </si>
  <si>
    <t>召唤训练-普通</t>
  </si>
  <si>
    <t>Upgrade_SummonAttack_Rare</t>
  </si>
  <si>
    <t>召唤训练-稀有</t>
  </si>
  <si>
    <t>Upgrade_SummonAttack_Epic</t>
  </si>
  <si>
    <t>召唤训练-史诗</t>
  </si>
  <si>
    <t>Upgrade_SummonAttack_Legendary</t>
  </si>
  <si>
    <t>召唤训练-传说</t>
  </si>
  <si>
    <t>Upgrade_CriticalChance_Common</t>
  </si>
  <si>
    <t>Upgrade_CriticalChance</t>
  </si>
  <si>
    <t>暴击率强化-普通</t>
  </si>
  <si>
    <t>2+</t>
  </si>
  <si>
    <t>暴击率是乘法入口，权重低于普通输出卡。</t>
  </si>
  <si>
    <t>Upgrade_CriticalChance_Rare</t>
  </si>
  <si>
    <t>暴击率强化-稀有</t>
  </si>
  <si>
    <t>Upgrade_CriticalChance_Epic</t>
  </si>
  <si>
    <t>暴击率强化-史诗</t>
  </si>
  <si>
    <t>Upgrade_CriticalChance_Legendary</t>
  </si>
  <si>
    <t>暴击率强化-传说</t>
  </si>
  <si>
    <t>Upgrade_CriticalPercent_Common</t>
  </si>
  <si>
    <t>Upgrade_CriticalPercent</t>
  </si>
  <si>
    <t>暴击伤害强化-普通</t>
  </si>
  <si>
    <t>5+</t>
  </si>
  <si>
    <t>后期属性；低暴击率构筑拿到时实际收益偏低。</t>
  </si>
  <si>
    <t>Upgrade_CriticalPercent_Rare</t>
  </si>
  <si>
    <t>暴击伤害强化-稀有</t>
  </si>
  <si>
    <t>Upgrade_CriticalPercent_Epic</t>
  </si>
  <si>
    <t>暴击伤害强化-史诗</t>
  </si>
  <si>
    <t>Upgrade_CriticalPercent_Legendary</t>
  </si>
  <si>
    <t>暴击伤害强化-传说</t>
  </si>
  <si>
    <t>Upgrade_MaxHealth_Common</t>
  </si>
  <si>
    <t>Upgrade_MaxHealth</t>
  </si>
  <si>
    <t>生命强化-普通</t>
  </si>
  <si>
    <t>生存</t>
  </si>
  <si>
    <t>生存基础锚点。</t>
  </si>
  <si>
    <t>Upgrade_MaxHealth_Rare</t>
  </si>
  <si>
    <t>生命强化-稀有</t>
  </si>
  <si>
    <t>Upgrade_MaxHealth_Epic</t>
  </si>
  <si>
    <t>生命强化-史诗</t>
  </si>
  <si>
    <t>Upgrade_MaxHealth_Legendary</t>
  </si>
  <si>
    <t>生命强化-传说</t>
  </si>
  <si>
    <t>Upgrade_HealthRecovery_Common</t>
  </si>
  <si>
    <t>Upgrade_HealthRecovery</t>
  </si>
  <si>
    <t>生命恢复强化-普通</t>
  </si>
  <si>
    <t>当前实战中稳定性高，不能和多条生存链路无脑叠满。</t>
  </si>
  <si>
    <t>Upgrade_HealthRecovery_Rare</t>
  </si>
  <si>
    <t>生命恢复强化-稀有</t>
  </si>
  <si>
    <t>Upgrade_HealthRecovery_Epic</t>
  </si>
  <si>
    <t>生命恢复强化-史诗</t>
  </si>
  <si>
    <t>Upgrade_HealthRecovery_Legendary</t>
  </si>
  <si>
    <t>生命恢复强化-传说</t>
  </si>
  <si>
    <t>Upgrade_Armor_Rare</t>
  </si>
  <si>
    <t>Upgrade_Armor</t>
  </si>
  <si>
    <t>护甲强化-稀有</t>
  </si>
  <si>
    <t>单点价值高，不提供 Common 档。</t>
  </si>
  <si>
    <t>Upgrade_Armor_Epic</t>
  </si>
  <si>
    <t>护甲强化-史诗</t>
  </si>
  <si>
    <t>Upgrade_Armor_Legendary</t>
  </si>
  <si>
    <t>护甲强化-传说</t>
  </si>
  <si>
    <t>Upgrade_DamageReduction_Common</t>
  </si>
  <si>
    <t>Upgrade_DamageReduction</t>
  </si>
  <si>
    <t>减伤强化-普通</t>
  </si>
  <si>
    <t>3+</t>
  </si>
  <si>
    <t>与护甲、闪避、回复复合放大，权重保守。</t>
  </si>
  <si>
    <t>Upgrade_DamageReduction_Rare</t>
  </si>
  <si>
    <t>减伤强化-稀有</t>
  </si>
  <si>
    <t>Upgrade_DamageReduction_Epic</t>
  </si>
  <si>
    <t>减伤强化-史诗</t>
  </si>
  <si>
    <t>Upgrade_DamageReduction_Legendary</t>
  </si>
  <si>
    <t>减伤强化-传说</t>
  </si>
  <si>
    <t>Upgrade_Dodge_Common</t>
  </si>
  <si>
    <t>Upgrade_Dodge</t>
  </si>
  <si>
    <t>闪避强化-普通</t>
  </si>
  <si>
    <t>有效闪避上限为 50%，重复选择后实际收益受上限限制。</t>
  </si>
  <si>
    <t>Upgrade_Dodge_Rare</t>
  </si>
  <si>
    <t>闪避强化-稀有</t>
  </si>
  <si>
    <t>Upgrade_Dodge_Epic</t>
  </si>
  <si>
    <t>闪避强化-史诗</t>
  </si>
  <si>
    <t>Upgrade_Dodge_Legendary</t>
  </si>
  <si>
    <t>闪避强化-传说</t>
  </si>
  <si>
    <t>Upgrade_MoveSpeed_Common</t>
  </si>
  <si>
    <t>Upgrade_MoveSpeed</t>
  </si>
  <si>
    <t>移速强化-普通</t>
  </si>
  <si>
    <t>机动</t>
  </si>
  <si>
    <t>手感属性，数值过高会降低怪物压力。</t>
  </si>
  <si>
    <t>Upgrade_MoveSpeed_Rare</t>
  </si>
  <si>
    <t>移速强化-稀有</t>
  </si>
  <si>
    <t>Upgrade_MoveSpeed_Epic</t>
  </si>
  <si>
    <t>移速强化-史诗</t>
  </si>
  <si>
    <t>Upgrade_MoveSpeed_Legendary</t>
  </si>
  <si>
    <t>移速强化-传说</t>
  </si>
  <si>
    <t>Upgrade_AttackRange_Common</t>
  </si>
  <si>
    <t>Upgrade_AttackRange</t>
  </si>
  <si>
    <t>攻击范围强化-普通</t>
  </si>
  <si>
    <t>远程和近战命中覆盖都会受益。</t>
  </si>
  <si>
    <t>Upgrade_AttackRange_Rare</t>
  </si>
  <si>
    <t>攻击范围强化-稀有</t>
  </si>
  <si>
    <t>Upgrade_AttackRange_Epic</t>
  </si>
  <si>
    <t>攻击范围强化-史诗</t>
  </si>
  <si>
    <t>Upgrade_AttackRange_Legendary</t>
  </si>
  <si>
    <t>攻击范围强化-传说</t>
  </si>
  <si>
    <t>Upgrade_PickupRadius_Common</t>
  </si>
  <si>
    <t>Upgrade_PickupRadius</t>
  </si>
  <si>
    <t>拾取范围强化-普通</t>
  </si>
  <si>
    <t>拾取</t>
  </si>
  <si>
    <t>主要改善拾取效率，不直接提高战斗力。</t>
  </si>
  <si>
    <t>Upgrade_PickupRadius_Rare</t>
  </si>
  <si>
    <t>拾取范围强化-稀有</t>
  </si>
  <si>
    <t>Upgrade_PickupRadius_Epic</t>
  </si>
  <si>
    <t>拾取范围强化-史诗</t>
  </si>
  <si>
    <t>Upgrade_PickupRadius_Legendary</t>
  </si>
  <si>
    <t>拾取范围强化-传说</t>
  </si>
  <si>
    <t>Upgrade_Luck_Common</t>
  </si>
  <si>
    <t>Upgrade_Luck</t>
  </si>
  <si>
    <t>幸运强化-普通</t>
  </si>
  <si>
    <t>经济</t>
  </si>
  <si>
    <t>同时影响商店和奖励入口，权重保守。</t>
  </si>
  <si>
    <t>Upgrade_Luck_Rare</t>
  </si>
  <si>
    <t>幸运强化-稀有</t>
  </si>
  <si>
    <t>Upgrade_Luck_Epic</t>
  </si>
  <si>
    <t>幸运强化-史诗</t>
  </si>
  <si>
    <t>Upgrade_Luck_Legendary</t>
  </si>
  <si>
    <t>幸运强化-传说</t>
  </si>
  <si>
    <t>Upgrade_ExperienceGain_Common</t>
  </si>
  <si>
    <t>Upgrade_ExperienceGain</t>
  </si>
  <si>
    <t>经验强化-普通</t>
  </si>
  <si>
    <t>1-12</t>
  </si>
  <si>
    <t>早拿强、晚拿弱；12 波后不再进入普通升级池。</t>
  </si>
  <si>
    <t>Upgrade_ExperienceGain_Rare</t>
  </si>
  <si>
    <t>经验强化-稀有</t>
  </si>
  <si>
    <t>Upgrade_ExperienceGain_Epic</t>
  </si>
  <si>
    <t>经验强化-史诗</t>
  </si>
  <si>
    <t>Upgrade_ExperienceGain_Legendary</t>
  </si>
  <si>
    <t>经验强化-传说</t>
  </si>
  <si>
    <t>Upgrade_ShopDiscount_Common</t>
  </si>
  <si>
    <t>Upgrade_ShopDiscount</t>
  </si>
  <si>
    <t>商店折扣强化-普通</t>
  </si>
  <si>
    <t>1-15</t>
  </si>
  <si>
    <t>受 50% 有效折扣上限限制，重复后边际下降。</t>
  </si>
  <si>
    <t>Upgrade_ShopDiscount_Rare</t>
  </si>
  <si>
    <t>商店折扣强化-稀有</t>
  </si>
  <si>
    <t>Upgrade_ShopDiscount_Epic</t>
  </si>
  <si>
    <t>商店折扣强化-史诗</t>
  </si>
  <si>
    <t>Upgrade_ShopDiscount_Legendary</t>
  </si>
  <si>
    <t>商店折扣强化-传说</t>
  </si>
  <si>
    <t>Upgrade_WaveGoldBonus_Common</t>
  </si>
  <si>
    <t>Upgrade_WaveGoldBonus</t>
  </si>
  <si>
    <t>波次金币强化-普通</t>
  </si>
  <si>
    <t>1-10</t>
  </si>
  <si>
    <t>只适合前中期；10 波后价值明显下降。</t>
  </si>
  <si>
    <t>Upgrade_WaveGoldBonus_Rare</t>
  </si>
  <si>
    <t>波次金币强化-稀有</t>
  </si>
  <si>
    <t>Upgrade_WaveGoldBonus_Epic</t>
  </si>
  <si>
    <t>波次金币强化-史诗</t>
  </si>
  <si>
    <t>Upgrade_WaveGoldBonus_Legendary</t>
  </si>
  <si>
    <t>波次金币强化-传说</t>
  </si>
  <si>
    <t>饰品ID</t>
  </si>
  <si>
    <t>品质</t>
  </si>
  <si>
    <t>正向属性/机制</t>
  </si>
  <si>
    <t>正向BP</t>
  </si>
  <si>
    <t>负向回收BP</t>
  </si>
  <si>
    <t>机制BP</t>
  </si>
  <si>
    <t>生存衰减</t>
  </si>
  <si>
    <t>最终BP</t>
  </si>
  <si>
    <t>参考价</t>
  </si>
  <si>
    <t>实际价</t>
  </si>
  <si>
    <t>回收价</t>
  </si>
  <si>
    <t>入口</t>
  </si>
  <si>
    <t>Accessory_C_DamageCharm</t>
  </si>
  <si>
    <t>磨损力量护符</t>
  </si>
  <si>
    <t>通用输出</t>
  </si>
  <si>
    <t>Damage +5</t>
  </si>
  <si>
    <t>商店</t>
  </si>
  <si>
    <t>最基础输出饰品。</t>
  </si>
  <si>
    <t>Accessory_C_LightTrigger</t>
  </si>
  <si>
    <t>轻型扳机</t>
  </si>
  <si>
    <t>攻速</t>
  </si>
  <si>
    <t>AttackSpeed +5</t>
  </si>
  <si>
    <t>高频武器收益受武器收益率限制。</t>
  </si>
  <si>
    <t>Accessory_C_PaddedVest</t>
  </si>
  <si>
    <t>厚实护垫</t>
  </si>
  <si>
    <t>生命</t>
  </si>
  <si>
    <t>MaxHealth +18</t>
  </si>
  <si>
    <t>低价生存入口。</t>
  </si>
  <si>
    <t>Accessory_C_FirstAidKit</t>
  </si>
  <si>
    <t>简易药包</t>
  </si>
  <si>
    <t>回复</t>
  </si>
  <si>
    <t>HealthRecoverySpeed +8</t>
  </si>
  <si>
    <t>回复体感强，Common 档不取满预算。</t>
  </si>
  <si>
    <t>Accessory_C_SpringLace</t>
  </si>
  <si>
    <t>弹簧鞋带</t>
  </si>
  <si>
    <t>MoveSpeed +8</t>
  </si>
  <si>
    <t>手感属性，低档投放。</t>
  </si>
  <si>
    <t>Accessory_C_MagnetRing</t>
  </si>
  <si>
    <t>拾取磁环</t>
  </si>
  <si>
    <t>PickupRadius +18</t>
  </si>
  <si>
    <t>不直接提高战斗力，价格略低。</t>
  </si>
  <si>
    <t>Accessory_C_LuckyCoin</t>
  </si>
  <si>
    <t>旧幸运币</t>
  </si>
  <si>
    <t>幸运</t>
  </si>
  <si>
    <t>Luck +5</t>
  </si>
  <si>
    <t>经济入口，权重保守。</t>
  </si>
  <si>
    <t>Accessory_C_ShortScope</t>
  </si>
  <si>
    <t>短距瞄具</t>
  </si>
  <si>
    <t>范围</t>
  </si>
  <si>
    <t>AttackRange +12</t>
  </si>
  <si>
    <t>影响安全距离和命中覆盖。</t>
  </si>
  <si>
    <t>Accessory_C_MinorCritLens</t>
  </si>
  <si>
    <t>裂纹准镜</t>
  </si>
  <si>
    <t>暴击</t>
  </si>
  <si>
    <t>CriticalChance +1; CriticalPercent +4</t>
  </si>
  <si>
    <t>低阶精准入口，前期暴击率低时实际收益偏弱。</t>
  </si>
  <si>
    <t>Accessory_R_TacticalCore</t>
  </si>
  <si>
    <t>战术核心</t>
  </si>
  <si>
    <t>通用攻击</t>
  </si>
  <si>
    <t>Attack +3</t>
  </si>
  <si>
    <t>全局基础攻击，投放比四类攻击更谨慎。</t>
  </si>
  <si>
    <t>Accessory_R_DamageManual</t>
  </si>
  <si>
    <t>伤害手册</t>
  </si>
  <si>
    <t>Damage +8</t>
  </si>
  <si>
    <t>Rare 标准输出件。</t>
  </si>
  <si>
    <t>Accessory_R_RapidGear</t>
  </si>
  <si>
    <t>快速齿轮</t>
  </si>
  <si>
    <t>AttackSpeed +8</t>
  </si>
  <si>
    <t>快速构筑入口。</t>
  </si>
  <si>
    <t>Accessory_R_MeleeEmblem</t>
  </si>
  <si>
    <t>近战徽记</t>
  </si>
  <si>
    <t>类型攻击</t>
  </si>
  <si>
    <t>MeleeAttack +8</t>
  </si>
  <si>
    <t>流派徽记变体。</t>
  </si>
  <si>
    <t>Accessory_R_RangedEmblem</t>
  </si>
  <si>
    <t>远程徽记</t>
  </si>
  <si>
    <t>RangedAttack +8</t>
  </si>
  <si>
    <t>Accessory_R_MagicEmblem</t>
  </si>
  <si>
    <t>魔法徽记</t>
  </si>
  <si>
    <t>MagicAttack +8</t>
  </si>
  <si>
    <t>Accessory_R_SummonEmblem</t>
  </si>
  <si>
    <t>召唤徽记</t>
  </si>
  <si>
    <t>SummonAttack +8</t>
  </si>
  <si>
    <t>Accessory_R_SteelGuard</t>
  </si>
  <si>
    <t>钢制护符</t>
  </si>
  <si>
    <t>护甲</t>
  </si>
  <si>
    <t>Armor +2</t>
  </si>
  <si>
    <t>4+</t>
  </si>
  <si>
    <t>护甲单点价值高，权重较低。</t>
  </si>
  <si>
    <t>Accessory_R_EvasionCloth</t>
  </si>
  <si>
    <t>闪避披布</t>
  </si>
  <si>
    <t>闪避</t>
  </si>
  <si>
    <t>Dodge +5</t>
  </si>
  <si>
    <t>受有效闪避上限限制。</t>
  </si>
  <si>
    <t>Accessory_R_BloodNeedle</t>
  </si>
  <si>
    <t>吸血针管</t>
  </si>
  <si>
    <t>吸血</t>
  </si>
  <si>
    <t>LifeSteal +8</t>
  </si>
  <si>
    <t>当前实战低稳定性，权重保守。</t>
  </si>
  <si>
    <t>Accessory_R_TradeStamp</t>
  </si>
  <si>
    <t>商会印章</t>
  </si>
  <si>
    <t>折扣</t>
  </si>
  <si>
    <t>ShopPriceDiscount +8</t>
  </si>
  <si>
    <t>2-12</t>
  </si>
  <si>
    <t>经济滚雪球，后期不投放。</t>
  </si>
  <si>
    <t>Accessory_R_WavePurse</t>
  </si>
  <si>
    <t>波次钱袋</t>
  </si>
  <si>
    <t>金币</t>
  </si>
  <si>
    <t>WaveGoldRewardBonus +12</t>
  </si>
  <si>
    <t>越早越强，10 波后关闭。</t>
  </si>
  <si>
    <t>Accessory_R_FieldBandage</t>
  </si>
  <si>
    <t>战地绷带</t>
  </si>
  <si>
    <t>复合生存</t>
  </si>
  <si>
    <t>MaxHealth +10; HealthRecoverySpeed +8</t>
  </si>
  <si>
    <t>已保守控制</t>
  </si>
  <si>
    <t>生命和回复的过渡件，避免早期纯回复过强。</t>
  </si>
  <si>
    <t>Accessory_R_LongBoots</t>
  </si>
  <si>
    <t>长行军靴</t>
  </si>
  <si>
    <t>机动范围</t>
  </si>
  <si>
    <t>MoveSpeed +8; AttackRange +8</t>
  </si>
  <si>
    <t>兼顾走位和命中覆盖，不直接提高单次伤害。</t>
  </si>
  <si>
    <t>Accessory_R_CritPrimer</t>
  </si>
  <si>
    <t>精密镜片</t>
  </si>
  <si>
    <t>CriticalChance +2; CriticalPercent +4</t>
  </si>
  <si>
    <t>承接 Common 暴击件和 Epic 暴击构筑。</t>
  </si>
  <si>
    <t>Accessory_E_CritScope</t>
  </si>
  <si>
    <t>暴击瞄准镜</t>
  </si>
  <si>
    <t>CriticalChance +3; CriticalPercent +6</t>
  </si>
  <si>
    <t>6+</t>
  </si>
  <si>
    <t>精准构筑件，前期低暴击率时收益偏弱。</t>
  </si>
  <si>
    <t>Accessory_E_RegenCore</t>
  </si>
  <si>
    <t>再生核心</t>
  </si>
  <si>
    <t>HealthRecoverySpeed +22</t>
  </si>
  <si>
    <t>强回复件，避免同件再叠高生命或高减伤。</t>
  </si>
  <si>
    <t>Accessory_E_CompositePlate</t>
  </si>
  <si>
    <t>复合护板</t>
  </si>
  <si>
    <t>MaxHealth +24; DamageReduction +4</t>
  </si>
  <si>
    <t>7+</t>
  </si>
  <si>
    <t>两条生存链路，已按保守值控制。</t>
  </si>
  <si>
    <t>Accessory_E_LongRangeStabilizer</t>
  </si>
  <si>
    <t>远距稳定器</t>
  </si>
  <si>
    <t>AttackRange +28</t>
  </si>
  <si>
    <t>范围构筑件。</t>
  </si>
  <si>
    <t>Accessory_E_PiercingDrill</t>
  </si>
  <si>
    <t>穿透钻头</t>
  </si>
  <si>
    <t>穿透机制</t>
  </si>
  <si>
    <t>ProjectilePierceCount +1</t>
  </si>
  <si>
    <t>适量上限 2</t>
  </si>
  <si>
    <t>10+</t>
  </si>
  <si>
    <t>机制入口，不进入低品质。</t>
  </si>
  <si>
    <t>Accessory_E_FieldInstructor</t>
  </si>
  <si>
    <t>战场教官</t>
  </si>
  <si>
    <t>Attack +6</t>
  </si>
  <si>
    <t>8+</t>
  </si>
  <si>
    <t>全局基础攻击，高价值输出件。</t>
  </si>
  <si>
    <t>Accessory_E_GrowthLedger</t>
  </si>
  <si>
    <t>成长账本</t>
  </si>
  <si>
    <t>ExperienceGain +12; Luck +4</t>
  </si>
  <si>
    <t>早期经济构筑件，权重很低。</t>
  </si>
  <si>
    <t>Accessory_E_BalancedCore</t>
  </si>
  <si>
    <t>均衡核心</t>
  </si>
  <si>
    <t>复合输出</t>
  </si>
  <si>
    <t>Damage +6; AttackSpeed +5</t>
  </si>
  <si>
    <t>稳定输出复合件，不额外附带乘区。</t>
  </si>
  <si>
    <t>Accessory_E_KnockbackCoil</t>
  </si>
  <si>
    <t>击退线圈</t>
  </si>
  <si>
    <t>控场</t>
  </si>
  <si>
    <t>KnockbackStrength +40</t>
  </si>
  <si>
    <t>控场手感件，高频武器仍由武器收益率限制。</t>
  </si>
  <si>
    <t>Accessory_E_GuardianMantle</t>
  </si>
  <si>
    <t>守护披肩</t>
  </si>
  <si>
    <t>Dodge +4; DamageReduction +3</t>
  </si>
  <si>
    <t>闪避和减伤复合，按生存复合风险降低投放权重。</t>
  </si>
  <si>
    <t>Accessory_L_ExtraHolster</t>
  </si>
  <si>
    <t>额外枪套</t>
  </si>
  <si>
    <t>武器槽机制</t>
  </si>
  <si>
    <t>WeaponSlotCount +1</t>
  </si>
  <si>
    <t>唯一</t>
  </si>
  <si>
    <t>商店; Boss 奖励</t>
  </si>
  <si>
    <t>15+</t>
  </si>
  <si>
    <t>终局构筑容量入口。</t>
  </si>
  <si>
    <t>Accessory_L_CritCrown</t>
  </si>
  <si>
    <t>暴击王冠</t>
  </si>
  <si>
    <t>CriticalChance +5; CriticalPercent +12</t>
  </si>
  <si>
    <t>12+</t>
  </si>
  <si>
    <t>后期精准构筑核心。</t>
  </si>
  <si>
    <t>Accessory_L_AlloyTactics</t>
  </si>
  <si>
    <t>合金战术板</t>
  </si>
  <si>
    <t>全类型攻击</t>
  </si>
  <si>
    <t>Melee/Ranged/Magic/SummonAttack 各 +4</t>
  </si>
  <si>
    <t>多武器混合构筑件。</t>
  </si>
  <si>
    <t>Accessory_L_OverdriveCore</t>
  </si>
  <si>
    <t>过载核心</t>
  </si>
  <si>
    <t>Damage +15; AttackSpeed +4</t>
  </si>
  <si>
    <t>高输出复合件，不能再附带生存。</t>
  </si>
  <si>
    <t>Accessory_L_BenefitCoupler</t>
  </si>
  <si>
    <t>收益耦合器</t>
  </si>
  <si>
    <t>武器收益率</t>
  </si>
  <si>
    <t>AttackSpeedBenefit +5; CriticalChanceBenefit +2; RangeBenefit +5; 四类 Attack 收益率各 +2</t>
  </si>
  <si>
    <t>适量上限 1</t>
  </si>
  <si>
    <t>14+</t>
  </si>
  <si>
    <t>放大外部属性，按全武器收益保守投放。</t>
  </si>
  <si>
    <t>Accessory_L_SurvivalMatrix</t>
  </si>
  <si>
    <t>生存矩阵</t>
  </si>
  <si>
    <t>MaxHealth +34; DamageReduction +7; HealthRecoverySpeed +10</t>
  </si>
  <si>
    <t>高价值生存核心，靠传说品质和低权重限制可见性。</t>
  </si>
  <si>
    <t>武器ID</t>
  </si>
  <si>
    <t>主标签</t>
  </si>
  <si>
    <t>副标签</t>
  </si>
  <si>
    <t>基础开放波次</t>
  </si>
  <si>
    <t>1级价格</t>
  </si>
  <si>
    <t>1级总BP</t>
  </si>
  <si>
    <t>目标价格偏差</t>
  </si>
  <si>
    <t>Weapon_IronHammer</t>
  </si>
  <si>
    <t>铁锤</t>
  </si>
  <si>
    <t>正常武器</t>
  </si>
  <si>
    <t>重型</t>
  </si>
  <si>
    <t>近战</t>
  </si>
  <si>
    <t>低频高伤近战扫掠</t>
  </si>
  <si>
    <t>重型近战基准，单次命中强，攻速成长保守。</t>
  </si>
  <si>
    <t>Weapon_RapidSMG</t>
  </si>
  <si>
    <t>冲锋枪</t>
  </si>
  <si>
    <t>快速</t>
  </si>
  <si>
    <t>远程</t>
  </si>
  <si>
    <t>高攻速低单发远程</t>
  </si>
  <si>
    <t>快速武器，击退和暴击收益率保守。</t>
  </si>
  <si>
    <t>Weapon_HuntingRifle</t>
  </si>
  <si>
    <t>猎枪</t>
  </si>
  <si>
    <t>精准</t>
  </si>
  <si>
    <t>低频远程精准单体</t>
  </si>
  <si>
    <t>精准远程，暴击成长明显但攻速保守。</t>
  </si>
  <si>
    <t>Weapon_FireWand</t>
  </si>
  <si>
    <t>火焰法杖</t>
  </si>
  <si>
    <t>强力武器</t>
  </si>
  <si>
    <t>成长</t>
  </si>
  <si>
    <t>魔法</t>
  </si>
  <si>
    <t>魔法范围持续输出</t>
  </si>
  <si>
    <t>强力武器，范围和魔法收益潜力高。成长标签暂按魔法构筑承载处理。</t>
  </si>
  <si>
    <t>Weapon_SummonOrb</t>
  </si>
  <si>
    <t>召唤法球</t>
  </si>
  <si>
    <t>召唤</t>
  </si>
  <si>
    <t>召唤持续输出</t>
  </si>
  <si>
    <t>召唤构筑入口，基础较慢但收益率高。</t>
  </si>
  <si>
    <t>Weapon_DaggerRing</t>
  </si>
  <si>
    <t>匕首环</t>
  </si>
  <si>
    <t>近战/精准</t>
  </si>
  <si>
    <t>近身高频暴击</t>
  </si>
  <si>
    <t>近战快速精准混合，范围短，安全性低。</t>
  </si>
  <si>
    <t>Weapon_ArcaneBolt</t>
  </si>
  <si>
    <t>奥术弹</t>
  </si>
  <si>
    <t>魔法单体弹体</t>
  </si>
  <si>
    <t>魔法精准单体，介于猎枪和法杖之间。</t>
  </si>
  <si>
    <t>Weapon_GreatAxe</t>
  </si>
  <si>
    <t>巨斧</t>
  </si>
  <si>
    <t>大范围低频近战</t>
  </si>
  <si>
    <t>强力重型，范围和单次伤害高，攻速短板明显。</t>
  </si>
  <si>
    <t>等级</t>
  </si>
  <si>
    <t>Range</t>
  </si>
  <si>
    <t>Knockback</t>
  </si>
  <si>
    <t>MeleeUsage</t>
  </si>
  <si>
    <t>RangedUsage</t>
  </si>
  <si>
    <t>MagicUsage</t>
  </si>
  <si>
    <t>SummonUsage</t>
  </si>
  <si>
    <t>收益率</t>
  </si>
  <si>
    <t>持有者属性</t>
  </si>
  <si>
    <t>单体DPS</t>
  </si>
  <si>
    <t>群体修正</t>
  </si>
  <si>
    <t>机制修正</t>
  </si>
  <si>
    <t>安全修正</t>
  </si>
  <si>
    <t>等效DPS</t>
  </si>
  <si>
    <t>等级价值倍率</t>
  </si>
  <si>
    <t>等级价格</t>
  </si>
  <si>
    <t>价格偏差</t>
  </si>
  <si>
    <t>AS 60; CritChance 60; CritPercent 70; Range 80; Knockback 70; Melee 80</t>
  </si>
  <si>
    <t>-</t>
  </si>
  <si>
    <t>Lv1 重击入口。</t>
  </si>
  <si>
    <t>AS 60; CritChance 60; CritPercent 75; Range 85; Knockback 75; Melee 90</t>
  </si>
  <si>
    <t>提高基础攻击和范围。</t>
  </si>
  <si>
    <t>AS 65; CritChance 65; CritPercent 80; Range 90; Knockback 80; Melee 100</t>
  </si>
  <si>
    <t>中段成型，少量暴击。</t>
  </si>
  <si>
    <t>AS 65; CritChance 70; CritPercent 85; Range 95; Knockback 85; Melee 110</t>
  </si>
  <si>
    <t>完整重型形态。</t>
  </si>
  <si>
    <t>AS 80; CritChance 40; CritPercent 40; Range 70; Knockback 25; Ranged 70</t>
  </si>
  <si>
    <t>高频基础入口。</t>
  </si>
  <si>
    <t>AS 82; CritChance 40; CritPercent 40; Range 75; Knockback 25; Ranged 80</t>
  </si>
  <si>
    <t>主加攻速。</t>
  </si>
  <si>
    <t>AS 84; CritChance 45; CritPercent 45; Range 80; Knockback 30; Ranged 90</t>
  </si>
  <si>
    <t>提高单发和攻速。</t>
  </si>
  <si>
    <t>AS 85; CritChance 45; CritPercent 45; Range 85; Knockback 30; Ranged 100</t>
  </si>
  <si>
    <t>完整快速形态。</t>
  </si>
  <si>
    <t>AS 70; CritChance 80; CritPercent 90; Range 90; Knockback 55; Ranged 85</t>
  </si>
  <si>
    <t>精准入门。</t>
  </si>
  <si>
    <t>AS 70; CritChance 85; CritPercent 95; Range 95; Knockback 60; Ranged 95</t>
  </si>
  <si>
    <t>提高暴击和攻击。</t>
  </si>
  <si>
    <t>AS 75; CritChance 90; CritPercent 100; Range 100; Knockback 65; Ranged 105</t>
  </si>
  <si>
    <t>暴击成型。</t>
  </si>
  <si>
    <t>AS 75; CritChance 95; CritPercent 110; Range 105; Knockback 70; Ranged 120</t>
  </si>
  <si>
    <t>后期精准核心。</t>
  </si>
  <si>
    <t>AS 70; CritChance 60; CritPercent 70; Range 80; Knockback 30; Magic 90</t>
  </si>
  <si>
    <t>Damage +1</t>
  </si>
  <si>
    <t>范围持续入口。</t>
  </si>
  <si>
    <t>AS 75; CritChance 65; CritPercent 75; Range 85; Knockback 30; Magic 105</t>
  </si>
  <si>
    <t>提高范围稳定。</t>
  </si>
  <si>
    <t>AS 80; CritChance 70; CritPercent 80; Range 90; Knockback 35; Magic 120</t>
  </si>
  <si>
    <t>Damage +2</t>
  </si>
  <si>
    <t>魔法构筑承载。</t>
  </si>
  <si>
    <t>AS 85; CritChance 75; CritPercent 90; Range 100; Knockback 35; Magic 140</t>
  </si>
  <si>
    <t>Damage +3</t>
  </si>
  <si>
    <t>完整范围形态。</t>
  </si>
  <si>
    <t>AS 60; CritChance 40; CritPercent 50; Range 80; Knockback 20; Summon 100</t>
  </si>
  <si>
    <t>SummonAttack +1</t>
  </si>
  <si>
    <t>召唤入口。</t>
  </si>
  <si>
    <t>AS 65; CritChance 45; CritPercent 55; Range 85; Knockback 20; Summon 115</t>
  </si>
  <si>
    <t>SummonAttack +2</t>
  </si>
  <si>
    <t>提高召唤收益。</t>
  </si>
  <si>
    <t>AS 70; CritChance 50; CritPercent 60; Range 90; Knockback 25; Summon 135</t>
  </si>
  <si>
    <t>SummonAttack +3</t>
  </si>
  <si>
    <t>中期召唤成型。</t>
  </si>
  <si>
    <t>AS 75; CritChance 55; CritPercent 65; Range 100; Knockback 25; Summon 160</t>
  </si>
  <si>
    <t>SummonAttack +4</t>
  </si>
  <si>
    <t>后期召唤核心。</t>
  </si>
  <si>
    <t>AS 75; CritChance 70; CritPercent 75; Range 60; Knockback 35; Melee 80</t>
  </si>
  <si>
    <t>近身风险换频率。</t>
  </si>
  <si>
    <t>AS 78; CritChance 75; CritPercent 80; Range 62; Knockback 35; Melee 90</t>
  </si>
  <si>
    <t>提高攻速暴击。</t>
  </si>
  <si>
    <t>AS 80; CritChance 80; CritPercent 85; Range 65; Knockback 40; Melee 105</t>
  </si>
  <si>
    <t>高频暴击成型。</t>
  </si>
  <si>
    <t>AS 82; CritChance 85; CritPercent 95; Range 70; Knockback 40; Melee 120</t>
  </si>
  <si>
    <t>完整近身爆发。</t>
  </si>
  <si>
    <t>AS 75; CritChance 75; CritPercent 80; Range 90; Knockback 35; Magic 85</t>
  </si>
  <si>
    <t>魔法单体入口。</t>
  </si>
  <si>
    <t>AS 78; CritChance 80; CritPercent 85; Range 95; Knockback 35; Magic 95</t>
  </si>
  <si>
    <t>提高攻击和魔法收益。</t>
  </si>
  <si>
    <t>AS 82; CritChance 85; CritPercent 90; Range 100; Knockback 40; Magic 110</t>
  </si>
  <si>
    <t>精准魔法成型。</t>
  </si>
  <si>
    <t>AS 85; CritChance 90; CritPercent 100; Range 105; Knockback 40; Magic 130</t>
  </si>
  <si>
    <t>后期魔法暴击。</t>
  </si>
  <si>
    <t>AS 50; CritChance 55; CritPercent 75; Range 85; Knockback 80; Melee 95</t>
  </si>
  <si>
    <t>低频大范围。</t>
  </si>
  <si>
    <t>AS 52; CritChance 60; CritPercent 80; Range 90; Knockback 85; Melee 110</t>
  </si>
  <si>
    <t>提高基础攻击。</t>
  </si>
  <si>
    <t>AS 55; CritChance 65; CritPercent 85; Range 95; Knockback 90; Melee 130</t>
  </si>
  <si>
    <t>重型成型。</t>
  </si>
  <si>
    <t>AS 58; CritChance 70; CritPercent 95; Range 100; Knockback 95; Melee 155</t>
  </si>
  <si>
    <t>完整高成本重型。</t>
  </si>
  <si>
    <t>波次段</t>
  </si>
  <si>
    <t>权重</t>
  </si>
  <si>
    <t>数量占比</t>
  </si>
  <si>
    <t>额外压力标签</t>
  </si>
  <si>
    <t>生成位置</t>
  </si>
  <si>
    <t>奖励修正</t>
  </si>
  <si>
    <t>关键波次面板</t>
  </si>
  <si>
    <t>目标击杀时间</t>
  </si>
  <si>
    <t>压力贡献</t>
  </si>
  <si>
    <t>1-4</t>
  </si>
  <si>
    <t>地图边缘持续生成</t>
  </si>
  <si>
    <t>默认</t>
  </si>
  <si>
    <t>0.8-1.5秒</t>
  </si>
  <si>
    <t>前期普通近战基准。</t>
  </si>
  <si>
    <t>Fast</t>
  </si>
  <si>
    <t>边缘侧翼少量夹击</t>
  </si>
  <si>
    <t>快速怪掉率</t>
  </si>
  <si>
    <t>0.5-1.0秒</t>
  </si>
  <si>
    <t>开局只提供少量速度压力。</t>
  </si>
  <si>
    <t>5-9</t>
  </si>
  <si>
    <t>0.7-1.3秒</t>
  </si>
  <si>
    <t>维持基础清场节奏。</t>
  </si>
  <si>
    <t>侧翼夹击</t>
  </si>
  <si>
    <t>0.5-0.9秒</t>
  </si>
  <si>
    <t>制造漏怪惩罚。</t>
  </si>
  <si>
    <t>边缘远程点，保留预警距离</t>
  </si>
  <si>
    <t>0.8-1.4秒</t>
  </si>
  <si>
    <t>低频远程骚扰。 DetectionRange 控制攻击释放入场，AttackRange 控制投射物最大距离。</t>
  </si>
  <si>
    <t>边缘远程点</t>
  </si>
  <si>
    <t>标准远程开始进入池。 DetectionRange 控制攻击释放入场，AttackRange 控制投射物最大距离。</t>
  </si>
  <si>
    <t>边缘慢速推进</t>
  </si>
  <si>
    <t>经验2；重型奖励池</t>
  </si>
  <si>
    <t>3.0-5.0秒</t>
  </si>
  <si>
    <t>一型作为前中期重型近战。</t>
  </si>
  <si>
    <t>远程预警点，低数量</t>
  </si>
  <si>
    <t>只少量试投放，避免低血高伤远程过量。 DetectionRange 控制攻击释放入场，AttackRange 控制投射物最大距离。</t>
  </si>
  <si>
    <t>10-14</t>
  </si>
  <si>
    <t>边缘持续生成</t>
  </si>
  <si>
    <t>0.6-1.1秒</t>
  </si>
  <si>
    <t>中期基础密度单位。</t>
  </si>
  <si>
    <t>侧翼/后方夹击</t>
  </si>
  <si>
    <t>0.4-0.8秒</t>
  </si>
  <si>
    <t>峰值段占比受控。</t>
  </si>
  <si>
    <t>0.7-1.2秒</t>
  </si>
  <si>
    <t>风筝远程维持压力。 DetectionRange 控制攻击释放入场，AttackRange 控制投射物最大距离。</t>
  </si>
  <si>
    <t>标准远程常规化。 DetectionRange 控制攻击释放入场，AttackRange 控制投射物最大距离。</t>
  </si>
  <si>
    <t>远程预警点</t>
  </si>
  <si>
    <t>少量高威胁远程。 DetectionRange 控制攻击释放入场，AttackRange 控制投射物最大距离。</t>
  </si>
  <si>
    <t>3.5-5.5秒</t>
  </si>
  <si>
    <t>中期主要重型近战。</t>
  </si>
  <si>
    <t>边缘慢速推进，峰值段少量</t>
  </si>
  <si>
    <t>二型逐步替代一型部分权重。</t>
  </si>
  <si>
    <t>节点/峰值段定点</t>
  </si>
  <si>
    <t>3.5-6.0秒</t>
  </si>
  <si>
    <t>冲锋重型低频进入。 DetectionRange 控制普攻入场，AttackRange 控制提交覆盖。</t>
  </si>
  <si>
    <t>Boss入场点</t>
  </si>
  <si>
    <t>固定Boss奖励</t>
  </si>
  <si>
    <t>35-55秒</t>
  </si>
  <si>
    <t>Boss节点固定；射击倍率需同时覆盖释放距离和投射物最大飞行距离；激光范围走技能长度。</t>
  </si>
  <si>
    <t>15-19</t>
  </si>
  <si>
    <t>后期基础数量压力。</t>
  </si>
  <si>
    <t>0.35-0.75秒</t>
  </si>
  <si>
    <t>快速压力控制在可读范围。</t>
  </si>
  <si>
    <t>低频风筝远程。 DetectionRange 控制攻击释放入场，AttackRange 控制投射物最大距离。</t>
  </si>
  <si>
    <t>远程常规压力。 DetectionRange 控制攻击释放入场，AttackRange 控制投射物最大距离。</t>
  </si>
  <si>
    <t>高威胁远程适量提高。 DetectionRange 控制攻击释放入场，AttackRange 控制投射物最大距离。</t>
  </si>
  <si>
    <t>4.0-6.5秒</t>
  </si>
  <si>
    <t>一型保留但不再主导。</t>
  </si>
  <si>
    <t>峰值段/边缘推进</t>
  </si>
  <si>
    <t>二型成为主要特殊近战。</t>
  </si>
  <si>
    <t>峰值段定点/边缘冲锋</t>
  </si>
  <si>
    <t>4.0-7.0秒</t>
  </si>
  <si>
    <t>冲锋重型提高存在感。 DetectionRange 控制普攻入场，AttackRange 控制提交覆盖。</t>
  </si>
  <si>
    <t>精英奖励池</t>
  </si>
  <si>
    <t>12-22秒</t>
  </si>
  <si>
    <t>准精英低频出现。 DetectionRange 控制普攻入场，AttackRange 控制提交覆盖。</t>
  </si>
  <si>
    <t>45-70秒</t>
  </si>
  <si>
    <t>20+</t>
  </si>
  <si>
    <t>0.4-0.9秒</t>
  </si>
  <si>
    <t>终局基础数量压力。</t>
  </si>
  <si>
    <t>0.3-0.7秒</t>
  </si>
  <si>
    <t>控制接触压力上限。</t>
  </si>
  <si>
    <t>终局远程基础项。 DetectionRange 控制攻击释放入场，AttackRange 控制投射物最大距离。</t>
  </si>
  <si>
    <t>终局高威胁远程。 DetectionRange 控制攻击释放入场，AttackRange 控制投射物最大距离。</t>
  </si>
  <si>
    <t>边缘推进</t>
  </si>
  <si>
    <t>4.5-7.5秒</t>
  </si>
  <si>
    <t>一型低频保留。</t>
  </si>
  <si>
    <t>终局主要特殊近战。</t>
  </si>
  <si>
    <t>4.5-8.0秒</t>
  </si>
  <si>
    <t>终局冲锋重型。 DetectionRange 控制普攻入场，AttackRange 控制提交覆盖。</t>
  </si>
  <si>
    <t>精英入场点</t>
  </si>
  <si>
    <t>15-28秒</t>
  </si>
  <si>
    <t>终局精英压力。 DetectionRange 控制普攻入场，AttackRange 控制提交覆盖。</t>
  </si>
  <si>
    <t>BossLike;Boss</t>
  </si>
  <si>
    <t>60-90秒</t>
  </si>
  <si>
    <t>波次ID</t>
  </si>
  <si>
    <t>持续时间</t>
  </si>
  <si>
    <t>目标玩家状态</t>
  </si>
  <si>
    <t>总刷怪数量</t>
  </si>
  <si>
    <t>每分钟密度</t>
  </si>
  <si>
    <t>时间分布</t>
  </si>
  <si>
    <t>目标同屏数量</t>
  </si>
  <si>
    <t>波次总生命池</t>
  </si>
  <si>
    <t>清场需求DPS</t>
  </si>
  <si>
    <t>波次总伤害压力</t>
  </si>
  <si>
    <t>普通怪结构</t>
  </si>
  <si>
    <t>精英节奏</t>
  </si>
  <si>
    <t>Boss节奏</t>
  </si>
  <si>
    <t>掉落/经济目标</t>
  </si>
  <si>
    <t>Wave_001</t>
  </si>
  <si>
    <t>Lv1-2；0-1件商品；武器Lv1</t>
  </si>
  <si>
    <t>起压0-20%/12%；主压20-65%/50%；峰值65-85%/28%；收尾85-100%/10%</t>
  </si>
  <si>
    <t>骷髅70%/史莱姆30%</t>
  </si>
  <si>
    <t>无</t>
  </si>
  <si>
    <t>边缘低密度</t>
  </si>
  <si>
    <t>经验约50；金币15-25</t>
  </si>
  <si>
    <t>教学清怪与拾取。</t>
  </si>
  <si>
    <t>Wave_002</t>
  </si>
  <si>
    <t>Lv2-3；0-1件商品；武器Lv1</t>
  </si>
  <si>
    <t>12-16</t>
  </si>
  <si>
    <t>骷髅68%/史莱姆32%</t>
  </si>
  <si>
    <t>经验约62；金币18-28</t>
  </si>
  <si>
    <t>提高包围密度。</t>
  </si>
  <si>
    <t>Wave_003</t>
  </si>
  <si>
    <t>Lv3-4；1件商品；武器Lv1</t>
  </si>
  <si>
    <t>14-18</t>
  </si>
  <si>
    <t>骷髅60%/史莱姆35%/流星锤5%</t>
  </si>
  <si>
    <t>边缘+少量侧翼</t>
  </si>
  <si>
    <t>经验约78；金币22-34</t>
  </si>
  <si>
    <t>开始出现低频重型。</t>
  </si>
  <si>
    <t>Wave_004</t>
  </si>
  <si>
    <t>Lv4-5；1-2件商品；武器Lv1-Lv2</t>
  </si>
  <si>
    <t>16-22</t>
  </si>
  <si>
    <t>骷髅55%/史莱姆35%/流星锤10%</t>
  </si>
  <si>
    <t>边缘+侧翼</t>
  </si>
  <si>
    <t>经验约92；金币28-42</t>
  </si>
  <si>
    <t>进入第一次商店取舍前。</t>
  </si>
  <si>
    <t>Wave_005</t>
  </si>
  <si>
    <t>Lv6-7；累计金币120-180；购买4-6；主力Lv2</t>
  </si>
  <si>
    <t>缓冲0-15%/8%；入场15-30%/12%；混压30-75%/60%；终段75-100%/20%</t>
  </si>
  <si>
    <t>20-30</t>
  </si>
  <si>
    <t>骷髅35%/史莱姆25%/蠕虫13%/飞虫10%/流星锤15%/邪眼2%</t>
  </si>
  <si>
    <t>边缘+节点定点</t>
  </si>
  <si>
    <t>经验约125；金币35-55；小宝箱低概率</t>
  </si>
  <si>
    <t>第一次小压力节点。</t>
  </si>
  <si>
    <t>Wave_006</t>
  </si>
  <si>
    <t>Lv7-8；购买5-7；主力Lv2</t>
  </si>
  <si>
    <t>22-32</t>
  </si>
  <si>
    <t>经验约120；金币40-60</t>
  </si>
  <si>
    <t>稳定构筑过渡。</t>
  </si>
  <si>
    <t>Wave_007</t>
  </si>
  <si>
    <t>Lv8-9；饰品3-5；主力Lv2</t>
  </si>
  <si>
    <t>24-34</t>
  </si>
  <si>
    <t>骷髅32%/史莱姆25%/蠕虫13%/飞虫12%/流星锤16%/邪眼2%</t>
  </si>
  <si>
    <t>边缘+远程预警点</t>
  </si>
  <si>
    <t>经验约140；金币45-70</t>
  </si>
  <si>
    <t>远程少量进入常规池。</t>
  </si>
  <si>
    <t>Wave_008</t>
  </si>
  <si>
    <t>Lv9-10；购买7-10；主力Lv2-Lv3</t>
  </si>
  <si>
    <t>28-36</t>
  </si>
  <si>
    <t>骷髅30%/史莱姆25%/蠕虫13%/飞虫12%/流星锤16%/邪眼4%</t>
  </si>
  <si>
    <t>经验约158；金币55-85</t>
  </si>
  <si>
    <t>密度明显提高。</t>
  </si>
  <si>
    <t>Wave_009</t>
  </si>
  <si>
    <t>Lv10-11；准备10波节点；主力接近Lv3</t>
  </si>
  <si>
    <t>32-38</t>
  </si>
  <si>
    <t>骷髅28%/史莱姆24%/蠕虫13%/飞虫13%/流星锤16%/邪眼6%</t>
  </si>
  <si>
    <t>边缘+峰值夹击</t>
  </si>
  <si>
    <t>经验约175；金币65-95</t>
  </si>
  <si>
    <t>10波前的输出检验。</t>
  </si>
  <si>
    <t>Wave_010</t>
  </si>
  <si>
    <t>Lv10-12；累计金币360-540；主力Lv3</t>
  </si>
  <si>
    <t>34-50</t>
  </si>
  <si>
    <t>骷髅24%/史莱姆18%/蠕虫11%/飞虫12%/邪眼6%/流星锤14%/流星锤二型9%/蓝石头人5%</t>
  </si>
  <si>
    <t>蓝石头人低频；可追加橙石头人预告</t>
  </si>
  <si>
    <t>机械石像Boss，15-30%入场</t>
  </si>
  <si>
    <t>Boss点+边缘混刷</t>
  </si>
  <si>
    <t>经验约230；金币85-125；Boss奖励</t>
  </si>
  <si>
    <t>首个Boss或强节点。</t>
  </si>
  <si>
    <t>Wave_011</t>
  </si>
  <si>
    <t>Lv12-13；饰品6-9；副武器Lv2</t>
  </si>
  <si>
    <t>36-52</t>
  </si>
  <si>
    <t>蓝石头人低频</t>
  </si>
  <si>
    <t>经验约215；金币80-120</t>
  </si>
  <si>
    <t>中期常规压力。</t>
  </si>
  <si>
    <t>Wave_012</t>
  </si>
  <si>
    <t>Lv13-14；购买12-16；主力Lv3</t>
  </si>
  <si>
    <t>40-56</t>
  </si>
  <si>
    <t>骷髅22%/史莱姆18%/蠕虫11%/飞虫12%/邪眼7%/流星锤14%/流星锤二型10%/蓝石头人6%</t>
  </si>
  <si>
    <t>经验约248；金币90-135</t>
  </si>
  <si>
    <t>提高生命池压力。</t>
  </si>
  <si>
    <t>Wave_013</t>
  </si>
  <si>
    <t>Lv14-15；主力Lv3；副武器Lv2-Lv3</t>
  </si>
  <si>
    <t>44-58</t>
  </si>
  <si>
    <t>骷髅22%/史莱姆17%/蠕虫10%/飞虫12%/邪眼8%/流星锤13%/流星锤二型11%/蓝石头人7%</t>
  </si>
  <si>
    <t>蓝石头人峰值段</t>
  </si>
  <si>
    <t>经验约280；金币100-150</t>
  </si>
  <si>
    <t>开始检验群体等效DPS。</t>
  </si>
  <si>
    <t>Wave_014</t>
  </si>
  <si>
    <t>Lv15-16；准备15波节点；主力Lv3-Lv4</t>
  </si>
  <si>
    <t>48-60</t>
  </si>
  <si>
    <t>骷髅20%/史莱姆17%/蠕虫10%/飞虫12%/邪眼8%/流星锤12%/流星锤二型12%/蓝石头人9%</t>
  </si>
  <si>
    <t>蓝石头人提高频率</t>
  </si>
  <si>
    <t>经验约315；金币115-165</t>
  </si>
  <si>
    <t>15波前压力阶梯。</t>
  </si>
  <si>
    <t>Wave_015</t>
  </si>
  <si>
    <t>Lv15-17；累计金币750-1100；主力Lv4或双Lv3</t>
  </si>
  <si>
    <t>52-72</t>
  </si>
  <si>
    <t>骷髅18%/史莱姆14%/蠕虫8%/飞虫12%/邪眼8%/流星锤10%/流星锤二型14%/蓝石头人10%</t>
  </si>
  <si>
    <t>橙石头人低频入场</t>
  </si>
  <si>
    <t>机械石像Boss或强化节点</t>
  </si>
  <si>
    <t>经验约365；金币130-190；Boss奖励</t>
  </si>
  <si>
    <t>后期节点，检验生存和单体。</t>
  </si>
  <si>
    <t>Wave_016</t>
  </si>
  <si>
    <t>Lv17-18；饰品10-14；副武器Lv3</t>
  </si>
  <si>
    <t>54-76</t>
  </si>
  <si>
    <t>骷髅18%/史莱姆14%/蠕虫8%/飞虫12%/邪眼8%/流星锤10%/流星锤二型14%/蓝石头人10%/橙石头人6%</t>
  </si>
  <si>
    <t>1个橙石头人或蓝石头人组合</t>
  </si>
  <si>
    <t>经验约360；金币120-180</t>
  </si>
  <si>
    <t>后期常规波。</t>
  </si>
  <si>
    <t>Wave_017</t>
  </si>
  <si>
    <t>Lv18-19；购买18-24；构筑成型</t>
  </si>
  <si>
    <t>58-82</t>
  </si>
  <si>
    <t>骷髅17%/史莱姆14%/蠕虫8%/飞虫12%/邪眼8%/流星锤9%/流星锤二型15%/蓝石头人11%/橙石头人6%</t>
  </si>
  <si>
    <t>橙石头人分段入场</t>
  </si>
  <si>
    <t>经验约405；金币140-210</t>
  </si>
  <si>
    <t>提高精英频率。</t>
  </si>
  <si>
    <t>Wave_018</t>
  </si>
  <si>
    <t>Lv19-20；主力Lv4；副武器Lv3左右</t>
  </si>
  <si>
    <t>62-86</t>
  </si>
  <si>
    <t>骷髅16%/史莱姆13%/蠕虫7%/飞虫12%/邪眼9%/流星锤8%/流星锤二型15%/蓝石头人12%/橙石头人8%</t>
  </si>
  <si>
    <t>橙石头人+蓝石头人组合</t>
  </si>
  <si>
    <t>经验约445；金币155-230</t>
  </si>
  <si>
    <t>终局前群体压力。</t>
  </si>
  <si>
    <t>Wave_019</t>
  </si>
  <si>
    <t>Lv20-22；准备终局；商店刷新取舍明显</t>
  </si>
  <si>
    <t>66-92</t>
  </si>
  <si>
    <t>骷髅15%/史莱姆13%/蠕虫7%/飞虫11%/邪眼9%/流星锤8%/流星锤二型16%/蓝石头人13%/橙石头人8%</t>
  </si>
  <si>
    <t>橙石头人多段入场</t>
  </si>
  <si>
    <t>经验约485；金币170-250</t>
  </si>
  <si>
    <t>终局前最后构筑检验。</t>
  </si>
  <si>
    <t>Wave_020</t>
  </si>
  <si>
    <t>Lv20-23；累计金币1300-1900；主力Lv4；至少2把副武器Lv3</t>
  </si>
  <si>
    <t>75-110</t>
  </si>
  <si>
    <t>骷髅15%/史莱姆11%/蠕虫6%/飞虫10%/邪眼8%/流星锤7%/流星锤二型15%/蓝石头人13%/橙石头人8%</t>
  </si>
  <si>
    <t>橙石头人分三段入场</t>
  </si>
  <si>
    <t>机械石像Boss，15-30%入场，终段压力提高</t>
  </si>
  <si>
    <t>Boss点+环形边缘+远程预警</t>
  </si>
  <si>
    <t>经验约600；金币220-320；Boss奖励</t>
  </si>
  <si>
    <t>终局Boss+密度压力。</t>
  </si>
  <si>
    <t>池条目ID</t>
  </si>
  <si>
    <t>内容类型</t>
  </si>
  <si>
    <t>内容ID</t>
  </si>
  <si>
    <t>品质/等级</t>
  </si>
  <si>
    <t>关闭波次</t>
  </si>
  <si>
    <t>幸运系数</t>
  </si>
  <si>
    <t>内容池价格倍率</t>
  </si>
  <si>
    <t>重复规则</t>
  </si>
  <si>
    <t>替代规则</t>
  </si>
  <si>
    <t>期望入口</t>
  </si>
  <si>
    <t>Shop_AccessoryQuality_Common_01_04</t>
  </si>
  <si>
    <t>饰品品质权重</t>
  </si>
  <si>
    <t>AccessoryPool_Common</t>
  </si>
  <si>
    <t>按具体饰品重复口径</t>
  </si>
  <si>
    <t>基础权重为0时不开放；唯一/上限达成则剔除</t>
  </si>
  <si>
    <t>商店饰品格</t>
  </si>
  <si>
    <t>品质层权重，用于幸运修正和波次开放。</t>
  </si>
  <si>
    <t>Shop_AccessoryQuality_Rare_01_04</t>
  </si>
  <si>
    <t>AccessoryPool_Rare</t>
  </si>
  <si>
    <t>Shop_AccessoryQuality_Epic_01_04</t>
  </si>
  <si>
    <t>AccessoryPool_Epic</t>
  </si>
  <si>
    <t>Shop_AccessoryQuality_Legendary_01_04</t>
  </si>
  <si>
    <t>AccessoryPool_Legendary</t>
  </si>
  <si>
    <t>Shop_AccessoryQuality_Common_05_09</t>
  </si>
  <si>
    <t>Shop_AccessoryQuality_Rare_05_09</t>
  </si>
  <si>
    <t>Shop_AccessoryQuality_Epic_05_09</t>
  </si>
  <si>
    <t>Shop_AccessoryQuality_Legendary_05_09</t>
  </si>
  <si>
    <t>Shop_AccessoryQuality_Common_10_14</t>
  </si>
  <si>
    <t>Shop_AccessoryQuality_Rare_10_14</t>
  </si>
  <si>
    <t>Shop_AccessoryQuality_Epic_10_14</t>
  </si>
  <si>
    <t>Shop_AccessoryQuality_Legendary_10_14</t>
  </si>
  <si>
    <t>Shop_AccessoryQuality_Common_15_19</t>
  </si>
  <si>
    <t>Shop_AccessoryQuality_Rare_15_19</t>
  </si>
  <si>
    <t>Shop_AccessoryQuality_Epic_15_19</t>
  </si>
  <si>
    <t>Shop_AccessoryQuality_Legendary_15_19</t>
  </si>
  <si>
    <t>Shop_AccessoryQuality_Common_20_PLUS</t>
  </si>
  <si>
    <t>Shop_AccessoryQuality_Rare_20_PLUS</t>
  </si>
  <si>
    <t>Shop_AccessoryQuality_Epic_20_PLUS</t>
  </si>
  <si>
    <t>Shop_AccessoryQuality_Legendary_20_PLUS</t>
  </si>
  <si>
    <t>Shop_WeaponLevel_Lv1_01_04</t>
  </si>
  <si>
    <t>武器等级权重</t>
  </si>
  <si>
    <t>WeaponPool_Lv1</t>
  </si>
  <si>
    <t>Lv1</t>
  </si>
  <si>
    <t>同名武器可重复，用于升级或新武器入口</t>
  </si>
  <si>
    <t>基础权重为0时不开放；武器槽满时只保留升级用途</t>
  </si>
  <si>
    <t>商店武器格</t>
  </si>
  <si>
    <t>等级层只控可见性，等级价格由武器等级表计算。</t>
  </si>
  <si>
    <t>Shop_WeaponLevel_Lv2_01_04</t>
  </si>
  <si>
    <t>WeaponPool_Lv2</t>
  </si>
  <si>
    <t>Lv2</t>
  </si>
  <si>
    <t>Shop_WeaponLevel_Lv3_01_04</t>
  </si>
  <si>
    <t>WeaponPool_Lv3</t>
  </si>
  <si>
    <t>Lv3</t>
  </si>
  <si>
    <t>Shop_WeaponLevel_Lv4_01_04</t>
  </si>
  <si>
    <t>WeaponPool_Lv4</t>
  </si>
  <si>
    <t>Lv4</t>
  </si>
  <si>
    <t>Shop_WeaponLevel_Lv1_05_09</t>
  </si>
  <si>
    <t>Shop_WeaponLevel_Lv2_05_09</t>
  </si>
  <si>
    <t>Shop_WeaponLevel_Lv3_05_09</t>
  </si>
  <si>
    <t>Shop_WeaponLevel_Lv4_05_09</t>
  </si>
  <si>
    <t>Shop_WeaponLevel_Lv1_10_14</t>
  </si>
  <si>
    <t>Shop_WeaponLevel_Lv2_10_14</t>
  </si>
  <si>
    <t>Shop_WeaponLevel_Lv3_10_14</t>
  </si>
  <si>
    <t>Shop_WeaponLevel_Lv4_10_14</t>
  </si>
  <si>
    <t>Shop_WeaponLevel_Lv1_15_19</t>
  </si>
  <si>
    <t>Shop_WeaponLevel_Lv2_15_19</t>
  </si>
  <si>
    <t>Shop_WeaponLevel_Lv3_15_19</t>
  </si>
  <si>
    <t>Shop_WeaponLevel_Lv4_15_19</t>
  </si>
  <si>
    <t>Shop_WeaponLevel_Lv1_20_PLUS</t>
  </si>
  <si>
    <t>Shop_WeaponLevel_Lv2_20_PLUS</t>
  </si>
  <si>
    <t>Shop_WeaponLevel_Lv3_20_PLUS</t>
  </si>
  <si>
    <t>Shop_WeaponLevel_Lv4_20_PLUS</t>
  </si>
  <si>
    <t>Shop_Accessory_C_DamageCharm</t>
  </si>
  <si>
    <t>饰品</t>
  </si>
  <si>
    <t>唯一或达到适量上限时剔除；其余允许重复</t>
  </si>
  <si>
    <t>具体饰品条目，最终可见性还要乘以品质层权重。</t>
  </si>
  <si>
    <t>Shop_Accessory_C_LightTrigger</t>
  </si>
  <si>
    <t>Shop_Accessory_C_PaddedVest</t>
  </si>
  <si>
    <t>Shop_Accessory_C_FirstAidKit</t>
  </si>
  <si>
    <t>Shop_Accessory_C_SpringLace</t>
  </si>
  <si>
    <t>Shop_Accessory_C_MagnetRing</t>
  </si>
  <si>
    <t>Shop_Accessory_C_LuckyCoin</t>
  </si>
  <si>
    <t>Shop_Accessory_C_ShortScope</t>
  </si>
  <si>
    <t>Shop_Accessory_C_MinorCritLens</t>
  </si>
  <si>
    <t>Shop_Accessory_R_TacticalCore</t>
  </si>
  <si>
    <t>Shop_Accessory_R_DamageManual</t>
  </si>
  <si>
    <t>Shop_Accessory_R_RapidGear</t>
  </si>
  <si>
    <t>Shop_Accessory_R_MeleeEmblem</t>
  </si>
  <si>
    <t>Shop_Accessory_R_RangedEmblem</t>
  </si>
  <si>
    <t>Shop_Accessory_R_MagicEmblem</t>
  </si>
  <si>
    <t>Shop_Accessory_R_SummonEmblem</t>
  </si>
  <si>
    <t>Shop_Accessory_R_SteelGuard</t>
  </si>
  <si>
    <t>Shop_Accessory_R_EvasionCloth</t>
  </si>
  <si>
    <t>Shop_Accessory_R_BloodNeedle</t>
  </si>
  <si>
    <t>Shop_Accessory_R_TradeStamp</t>
  </si>
  <si>
    <t>12</t>
  </si>
  <si>
    <t>Shop_Accessory_R_WavePurse</t>
  </si>
  <si>
    <t>10</t>
  </si>
  <si>
    <t>Shop_Accessory_R_FieldBandage</t>
  </si>
  <si>
    <t>Shop_Accessory_R_LongBoots</t>
  </si>
  <si>
    <t>Shop_Accessory_R_CritPrimer</t>
  </si>
  <si>
    <t>Shop_Accessory_E_CritScope</t>
  </si>
  <si>
    <t>Shop_Accessory_E_RegenCore</t>
  </si>
  <si>
    <t>Shop_Accessory_E_CompositePlate</t>
  </si>
  <si>
    <t>Shop_Accessory_E_LongRangeStabilizer</t>
  </si>
  <si>
    <t>Shop_Accessory_E_PiercingDrill</t>
  </si>
  <si>
    <t>Shop_Accessory_E_FieldInstructor</t>
  </si>
  <si>
    <t>Shop_Accessory_E_GrowthLedger</t>
  </si>
  <si>
    <t>Shop_Accessory_E_BalancedCore</t>
  </si>
  <si>
    <t>Shop_Accessory_E_KnockbackCoil</t>
  </si>
  <si>
    <t>Shop_Accessory_E_GuardianMantle</t>
  </si>
  <si>
    <t>Shop_Accessory_L_ExtraHolster</t>
  </si>
  <si>
    <t>商店;Boss 奖励</t>
  </si>
  <si>
    <t>Shop_Accessory_L_CritCrown</t>
  </si>
  <si>
    <t>Shop_Accessory_L_AlloyTactics</t>
  </si>
  <si>
    <t>Shop_Accessory_L_OverdriveCore</t>
  </si>
  <si>
    <t>Shop_Accessory_L_BenefitCoupler</t>
  </si>
  <si>
    <t>Shop_Accessory_L_SurvivalMatrix</t>
  </si>
  <si>
    <t>Shop_Weapon_IronHammer</t>
  </si>
  <si>
    <t>武器</t>
  </si>
  <si>
    <t>同名武器可重复，用于新武器或升级入口</t>
  </si>
  <si>
    <t>武器槽满时只保留升级用途；强力武器受自身开放波次限制</t>
  </si>
  <si>
    <t>具体武器条目，等级可见性还要乘以武器等级层权重。</t>
  </si>
  <si>
    <t>Shop_Weapon_RapidSMG</t>
  </si>
  <si>
    <t>Shop_Weapon_HuntingRifle</t>
  </si>
  <si>
    <t>Shop_Weapon_FireWand</t>
  </si>
  <si>
    <t>Shop_Weapon_SummonOrb</t>
  </si>
  <si>
    <t>Shop_Weapon_DaggerRing</t>
  </si>
  <si>
    <t>Shop_Weapon_ArcaneBolt</t>
  </si>
  <si>
    <t>Shop_Weapon_GreatAxe</t>
  </si>
  <si>
    <t>奖励池ID</t>
  </si>
  <si>
    <t>来源类型</t>
  </si>
  <si>
    <t>来源ID</t>
  </si>
  <si>
    <t>击杀经验</t>
  </si>
  <si>
    <t>奖励掉落率</t>
  </si>
  <si>
    <t>掉落率上限</t>
  </si>
  <si>
    <t>产物类型</t>
  </si>
  <si>
    <t>产物ID或池</t>
  </si>
  <si>
    <t>产物数量/价值</t>
  </si>
  <si>
    <t>品质/等级权重</t>
  </si>
  <si>
    <t>期望收益</t>
  </si>
  <si>
    <t>Drop_Enemy_SkeletonEnemy</t>
  </si>
  <si>
    <t>普通怪</t>
  </si>
  <si>
    <t>奖励池</t>
  </si>
  <si>
    <t>RewardPool_Normal</t>
  </si>
  <si>
    <t>金币100</t>
  </si>
  <si>
    <t>普通近战基准掉落。</t>
  </si>
  <si>
    <t>Drop_Enemy_EvilSlimeEnemy</t>
  </si>
  <si>
    <t>快速怪</t>
  </si>
  <si>
    <t>快速怪数量高，掉率保守。</t>
  </si>
  <si>
    <t>Drop_Enemy_WormEnemy</t>
  </si>
  <si>
    <t>普通远程</t>
  </si>
  <si>
    <t>低频远程风筝怪。</t>
  </si>
  <si>
    <t>Drop_Enemy_FlyForestEnemy</t>
  </si>
  <si>
    <t>标准远程风筝怪。</t>
  </si>
  <si>
    <t>Drop_Enemy_EvilEyeEnemy</t>
  </si>
  <si>
    <t>特殊远程</t>
  </si>
  <si>
    <t>脆皮高威胁远程不天然提高奖励。</t>
  </si>
  <si>
    <t>Drop_Enemy_SkeletonMeteorhammerEnemy</t>
  </si>
  <si>
    <t>重型怪</t>
  </si>
  <si>
    <t>RewardPool_Heavy</t>
  </si>
  <si>
    <t>金币90 / 小宝箱10</t>
  </si>
  <si>
    <t>中距离重型近战。</t>
  </si>
  <si>
    <t>Drop_Enemy_SkeletonMeteorhammer2Enemy</t>
  </si>
  <si>
    <t>二型覆盖更危险，掉率略高。</t>
  </si>
  <si>
    <t>Drop_Enemy_BlueGolemEnemy</t>
  </si>
  <si>
    <t>冲锋重型怪。</t>
  </si>
  <si>
    <t>Drop_Enemy_OrangeGolemEnemy</t>
  </si>
  <si>
    <t>精英怪</t>
  </si>
  <si>
    <t>RewardPool_Elite</t>
  </si>
  <si>
    <t>金币70 / 小宝箱30</t>
  </si>
  <si>
    <t>高压重型/准精英，稳定给奖励。</t>
  </si>
  <si>
    <t>Drop_Enemy_MechaStoneBossEnemy</t>
  </si>
  <si>
    <t>固定奖励</t>
  </si>
  <si>
    <t>RewardPool_Boss</t>
  </si>
  <si>
    <t>选择1项</t>
  </si>
  <si>
    <t>Boss奖励100</t>
  </si>
  <si>
    <t>Boss奖励不提高次数，幸运只影响内部品质。</t>
  </si>
  <si>
    <t>Pool_Normal_Gold</t>
  </si>
  <si>
    <t>奖励池条目</t>
  </si>
  <si>
    <t>金币拾取物</t>
  </si>
  <si>
    <t>GoldPickup</t>
  </si>
  <si>
    <t>普通奖励池只掉金币。</t>
  </si>
  <si>
    <t>Pool_Heavy_Gold</t>
  </si>
  <si>
    <t>金币90</t>
  </si>
  <si>
    <t>重型奖励池金币项。</t>
  </si>
  <si>
    <t>Pool_Heavy_Chest</t>
  </si>
  <si>
    <t>小宝箱</t>
  </si>
  <si>
    <t>Chest_Small</t>
  </si>
  <si>
    <t>小宝箱10</t>
  </si>
  <si>
    <t>重型奖励池少量宝箱入口。</t>
  </si>
  <si>
    <t>Pool_Elite_GoldPack</t>
  </si>
  <si>
    <t>金币包</t>
  </si>
  <si>
    <t>GoldPack_Medium</t>
  </si>
  <si>
    <t>金币包70</t>
  </si>
  <si>
    <t>精英奖励中的保底经济项。</t>
  </si>
  <si>
    <t>Pool_Elite_Chest</t>
  </si>
  <si>
    <t>小宝箱30</t>
  </si>
  <si>
    <t>精英奖励中的惊喜项。</t>
  </si>
  <si>
    <t>Pool_SmallChest_Gold</t>
  </si>
  <si>
    <t>宝箱条目</t>
  </si>
  <si>
    <t>GoldPack_Small</t>
  </si>
  <si>
    <t>金币包55</t>
  </si>
  <si>
    <t>小宝箱默认内容。</t>
  </si>
  <si>
    <t>Pool_SmallChest_CommonAccessory</t>
  </si>
  <si>
    <t>饰品池</t>
  </si>
  <si>
    <t>Common 25</t>
  </si>
  <si>
    <t>小宝箱普通饰品入口。</t>
  </si>
  <si>
    <t>Pool_SmallChest_RareAccessory</t>
  </si>
  <si>
    <t>Rare 15</t>
  </si>
  <si>
    <t>幸运提高 Rare+ 权重。</t>
  </si>
  <si>
    <t>Pool_SmallChest_Weapon</t>
  </si>
  <si>
    <t>武器池</t>
  </si>
  <si>
    <t>WeaponPool_Lv1_Lv2</t>
  </si>
  <si>
    <t>Lv1/Lv2 5</t>
  </si>
  <si>
    <t>只提供低档武器惊喜。</t>
  </si>
  <si>
    <t>Pool_Boss_Weapon</t>
  </si>
  <si>
    <t>Boss奖励条目</t>
  </si>
  <si>
    <t>武器选择</t>
  </si>
  <si>
    <t>WeaponPool_HighLevel</t>
  </si>
  <si>
    <t>Lv2+ 35</t>
  </si>
  <si>
    <t>Boss奖励可提供高等级武器选择。</t>
  </si>
  <si>
    <t>Pool_Boss_Accessory</t>
  </si>
  <si>
    <t>饰品选择</t>
  </si>
  <si>
    <t>AccessoryPool_RarePlus</t>
  </si>
  <si>
    <t>Rare+ 35</t>
  </si>
  <si>
    <t>Boss奖励主要构筑入口。</t>
  </si>
  <si>
    <t>Pool_Boss_Upgrade</t>
  </si>
  <si>
    <t>升级选择</t>
  </si>
  <si>
    <t>UpgradeCardChoice</t>
  </si>
  <si>
    <t>升级选择20</t>
  </si>
  <si>
    <t>不进入普通升级卡数量上限，因为升级卡不限制次数。</t>
  </si>
  <si>
    <t>Pool_Boss_Gold</t>
  </si>
  <si>
    <t>GoldPack_Large</t>
  </si>
  <si>
    <t>金币包10</t>
  </si>
  <si>
    <t>低权重经济兜底。</t>
  </si>
  <si>
    <t>校验ID</t>
  </si>
  <si>
    <t>波次</t>
  </si>
  <si>
    <t>标准构筑</t>
  </si>
  <si>
    <t>玩家状态</t>
  </si>
  <si>
    <t>武器状态</t>
  </si>
  <si>
    <t>饰品状态</t>
  </si>
  <si>
    <t>有效单体DPS</t>
  </si>
  <si>
    <t>群体等效DPS</t>
  </si>
  <si>
    <t>瞬时EHP</t>
  </si>
  <si>
    <t>持续生存</t>
  </si>
  <si>
    <t>普通怪击杀时间</t>
  </si>
  <si>
    <t>重型/精英/Boss击杀时间</t>
  </si>
  <si>
    <t>清场压力</t>
  </si>
  <si>
    <t>经济偏差</t>
  </si>
  <si>
    <t>问题归因</t>
  </si>
  <si>
    <t>调整建议</t>
  </si>
  <si>
    <t>Check_Wave05</t>
  </si>
  <si>
    <t>普通输出构筑</t>
  </si>
  <si>
    <t>Lv6-7；升级卡5-6；累计金币120-180；购买4-6</t>
  </si>
  <si>
    <t>1把主力Lv2，并有副武器或关键饰品</t>
  </si>
  <si>
    <t>2-4件</t>
  </si>
  <si>
    <t>目标0.7-1.3秒</t>
  </si>
  <si>
    <t>重型3.0-5.0秒；精英8-14秒；Boss不出现</t>
  </si>
  <si>
    <t>累计金币与购买量应进入取舍区间</t>
  </si>
  <si>
    <t>待实测回填</t>
  </si>
  <si>
    <t>若清场过慢，优先调普通/重型数量和波次生命池。</t>
  </si>
  <si>
    <t>Check_Wave10</t>
  </si>
  <si>
    <t>成型前构筑</t>
  </si>
  <si>
    <t>Lv10-12；升级卡9-11；累计金币360-540；购买9-13</t>
  </si>
  <si>
    <t>1把主力Lv3，副武器至少Lv2</t>
  </si>
  <si>
    <t>5-8件</t>
  </si>
  <si>
    <t>目标0.6-1.1秒</t>
  </si>
  <si>
    <t>重型3.5-5.5秒；精英10-18秒；Boss35-55秒</t>
  </si>
  <si>
    <t>刷新4-8次后应能看到明确升级目标</t>
  </si>
  <si>
    <t>若Boss过短，增加Boss生命或阶段；若小怪堆积，先降密度峰值。</t>
  </si>
  <si>
    <t>Check_Wave15</t>
  </si>
  <si>
    <t>后期过渡构筑</t>
  </si>
  <si>
    <t>Lv15-17；升级卡14-16；累计金币750-1100；购买16-22</t>
  </si>
  <si>
    <t>主力Lv4或双Lv3，副武器Lv2-Lv3</t>
  </si>
  <si>
    <t>9-13件</t>
  </si>
  <si>
    <t>目标0.5-1.0秒</t>
  </si>
  <si>
    <t>重型4.0-6.5秒；精英12-22秒；Boss45-70秒</t>
  </si>
  <si>
    <t>购买和刷新都应有压力，不能稳定全买</t>
  </si>
  <si>
    <t>若后期威胁不足，优先提高精英/Boss节奏和生命池。</t>
  </si>
  <si>
    <t>Check_Wave20</t>
  </si>
  <si>
    <t>终局普通构筑</t>
  </si>
  <si>
    <t>Lv20-23；升级卡19-22；累计金币1300-1900；购买24-32</t>
  </si>
  <si>
    <t>主力Lv4，至少2把副武器Lv3左右</t>
  </si>
  <si>
    <t>13-18件</t>
  </si>
  <si>
    <t>目标0.4-0.9秒</t>
  </si>
  <si>
    <t>重型4.5-7.5秒；精英15-28秒；Boss60-90秒</t>
  </si>
  <si>
    <t>当前留存60-160，刷新12-22次</t>
  </si>
  <si>
    <t>若终局只能堆数量，应改成Boss/精英/远程组合压力。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</si>
</sst>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##"/>
    <numFmt numFmtId="177" formatCode="0.0"/>
  </numFmts>
  <fonts count="6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color rgb="FFFFFFFF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77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9" fontId="5" fillId="0" borderId="8" xfId="0" applyNumberFormat="1" applyFont="1" applyBorder="1" applyAlignment="1">
      <alignment vertical="top" wrapText="1"/>
    </xf>
    <xf numFmtId="177" fontId="5" fillId="0" borderId="1" xfId="0" applyNumberFormat="1" applyFont="1" applyBorder="1" applyAlignment="1">
      <alignment vertical="top" wrapText="1"/>
    </xf>
    <xf numFmtId="177" fontId="5" fillId="0" borderId="8" xfId="0" applyNumberFormat="1" applyFont="1" applyBorder="1" applyAlignment="1">
      <alignment vertical="top" wrapText="1"/>
    </xf>
    <xf numFmtId="49" fontId="2" fillId="3" borderId="5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vertical="top" wrapText="1"/>
    </xf>
    <xf numFmtId="49" fontId="5" fillId="0" borderId="8" xfId="0" applyNumberFormat="1" applyFont="1" applyBorder="1" applyAlignment="1">
      <alignment vertical="top" wrapText="1"/>
    </xf>
    <xf numFmtId="49" fontId="0" fillId="0" borderId="0" xfId="0" applyNumberFormat="1"/>
  </cellXfs>
  <cellStyles count="1">
    <cellStyle name="常规" xfId="0" builtinId="0"/>
  </cellStyles>
  <dxfs count="59"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numFmt numFmtId="177" formatCode="0.0"/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numFmt numFmtId="13" formatCode="0%"/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numFmt numFmtId="13" formatCode="0%"/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/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border outline="0">
        <top style="thin">
          <color rgb="FFD9E2F3"/>
        </top>
      </border>
    </dxf>
    <dxf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</dxf>
    <dxf>
      <border outline="0">
        <bottom style="thin">
          <color rgb="FFD9E2F3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Microsoft YaHei"/>
        <family val="2"/>
        <charset val="134"/>
      </font>
      <fill>
        <patternFill patternType="solid">
          <fgColor indexed="64"/>
          <bgColor rgb="FF1F4E78"/>
        </patternFill>
      </fill>
      <alignment horizontal="general" vertical="bottom" wrapText="1"/>
      <border outline="0">
        <left style="thin">
          <color rgb="FFD9E2F3"/>
        </left>
        <right style="thin">
          <color rgb="FFD9E2F3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numFmt numFmtId="13" formatCode="0%"/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numFmt numFmtId="30" formatCode="@"/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/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border outline="0">
        <top style="thin">
          <color rgb="FFD9E2F3"/>
        </top>
      </border>
    </dxf>
    <dxf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</dxf>
    <dxf>
      <border outline="0">
        <bottom style="thin">
          <color rgb="FFD9E2F3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Microsoft YaHei"/>
        <family val="2"/>
        <charset val="134"/>
      </font>
      <fill>
        <patternFill patternType="solid">
          <fgColor indexed="64"/>
          <bgColor rgb="FF1F4E78"/>
        </patternFill>
      </fill>
      <alignment horizontal="general" vertical="bottom" wrapText="1"/>
      <border outline="0">
        <left style="thin">
          <color rgb="FFD9E2F3"/>
        </left>
        <right style="thin">
          <color rgb="FFD9E2F3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numFmt numFmtId="13" formatCode="0%"/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numFmt numFmtId="13" formatCode="0%"/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  <border>
        <left/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border outline="0">
        <top style="thin">
          <color rgb="FFD9E2F3"/>
        </top>
      </border>
    </dxf>
    <dxf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Microsoft YaHei"/>
        <family val="2"/>
        <charset val="134"/>
      </font>
      <alignment horizontal="general" vertical="top" wrapText="1"/>
    </dxf>
    <dxf>
      <border outline="0">
        <bottom style="thin">
          <color rgb="FFD9E2F3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Microsoft YaHei"/>
        <family val="2"/>
        <charset val="134"/>
      </font>
      <fill>
        <patternFill patternType="solid">
          <fgColor indexed="64"/>
          <bgColor rgb="FF1F4E78"/>
        </patternFill>
      </fill>
      <alignment horizontal="general" vertical="bottom" wrapText="1"/>
      <border outline="0">
        <left style="thin">
          <color rgb="FFD9E2F3"/>
        </left>
        <right style="thin">
          <color rgb="FFD9E2F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Table" displayName="InfoTable" ref="A1:B6">
  <autoFilter ref="A1:B6" xr:uid="{00000000-0009-0000-0100-000001000000}"/>
  <tableColumns count="2">
    <tableColumn id="1" xr3:uid="{00000000-0010-0000-0000-000001000000}" name="用途"/>
    <tableColumn id="2" xr3:uid="{00000000-0010-0000-0000-000002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erenceTable" displayName="ReferenceTable" ref="A1:E10">
  <autoFilter ref="A1:E10" xr:uid="{00000000-0009-0000-0100-000002000000}"/>
  <tableColumns count="5">
    <tableColumn id="1" xr3:uid="{00000000-0010-0000-0100-000001000000}" name="类型"/>
    <tableColumn id="2" xr3:uid="{00000000-0010-0000-0100-000002000000}" name="名称"/>
    <tableColumn id="3" xr3:uid="{00000000-0010-0000-0100-000003000000}" name="值1"/>
    <tableColumn id="4" xr3:uid="{00000000-0010-0000-0100-000004000000}" name="值2"/>
    <tableColumn id="5" xr3:uid="{00000000-0010-0000-0100-000005000000}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tributeValueTable" displayName="AttributeValueTable" ref="A1:F30">
  <autoFilter ref="A1:F30" xr:uid="{00000000-0009-0000-0100-000003000000}"/>
  <tableColumns count="6">
    <tableColumn id="1" xr3:uid="{00000000-0010-0000-0200-000001000000}" name="属性"/>
    <tableColumn id="2" xr3:uid="{00000000-0010-0000-0200-000002000000}" name="配置单位"/>
    <tableColumn id="3" xr3:uid="{00000000-0010-0000-0200-000003000000}" name="常规属性"/>
    <tableColumn id="4" xr3:uid="{00000000-0010-0000-0200-000004000000}" name="价值/点"/>
    <tableColumn id="5" xr3:uid="{00000000-0010-0000-0200-000005000000}" name="消费侧边界"/>
    <tableColumn id="6" xr3:uid="{00000000-0010-0000-0200-000006000000}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pgradeCardTable" displayName="UpgradeCardTable" ref="A1:Q80">
  <autoFilter ref="A1:Q80" xr:uid="{00000000-0009-0000-0100-000004000000}"/>
  <tableColumns count="17">
    <tableColumn id="1" xr3:uid="{00000000-0010-0000-0300-000001000000}" name="卡片ID"/>
    <tableColumn id="2" xr3:uid="{00000000-0010-0000-0300-000002000000}" name="卡片族ID"/>
    <tableColumn id="3" xr3:uid="{00000000-0010-0000-0300-000003000000}" name="显示名"/>
    <tableColumn id="4" xr3:uid="{00000000-0010-0000-0300-000004000000}" name="方向"/>
    <tableColumn id="5" xr3:uid="{00000000-0010-0000-0300-000005000000}" name="稀有度"/>
    <tableColumn id="6" xr3:uid="{00000000-0010-0000-0300-000006000000}" name="属性"/>
    <tableColumn id="7" xr3:uid="{00000000-0010-0000-0300-000007000000}" name="数值"/>
    <tableColumn id="8" xr3:uid="{00000000-0010-0000-0300-000008000000}" name="属性BP"/>
    <tableColumn id="9" xr3:uid="{00000000-0010-0000-0300-000009000000}" name="条件修正"/>
    <tableColumn id="10" xr3:uid="{00000000-0010-0000-0300-00000A000000}" name="修正后BP"/>
    <tableColumn id="11" xr3:uid="{00000000-0010-0000-0300-00000B000000}" name="稀有度目标BP"/>
    <tableColumn id="12" xr3:uid="{00000000-0010-0000-0300-00000C000000}" name="BP偏差"/>
    <tableColumn id="13" xr3:uid="{00000000-0010-0000-0300-00000D000000}" name="开放波次"/>
    <tableColumn id="14" xr3:uid="{00000000-0010-0000-0300-00000E000000}" name="基础权重"/>
    <tableColumn id="15" xr3:uid="{00000000-0010-0000-0300-00000F000000}" name="已选权重调整"/>
    <tableColumn id="16" xr3:uid="{00000000-0010-0000-0300-000010000000}" name="重复口径"/>
    <tableColumn id="17" xr3:uid="{00000000-0010-0000-0300-000011000000}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ccessoryTable" displayName="AccessoryTable" ref="A1:R33">
  <autoFilter ref="A1:R33" xr:uid="{00000000-0009-0000-0100-000005000000}"/>
  <tableColumns count="18">
    <tableColumn id="1" xr3:uid="{00000000-0010-0000-0400-000001000000}" name="饰品ID"/>
    <tableColumn id="2" xr3:uid="{00000000-0010-0000-0400-000002000000}" name="名称"/>
    <tableColumn id="3" xr3:uid="{00000000-0010-0000-0400-000003000000}" name="品质"/>
    <tableColumn id="4" xr3:uid="{00000000-0010-0000-0400-000004000000}" name="定位"/>
    <tableColumn id="5" xr3:uid="{00000000-0010-0000-0400-000005000000}" name="正向属性/机制"/>
    <tableColumn id="6" xr3:uid="{00000000-0010-0000-0400-000006000000}" name="正向BP"/>
    <tableColumn id="7" xr3:uid="{00000000-0010-0000-0400-000007000000}" name="负向回收BP"/>
    <tableColumn id="8" xr3:uid="{00000000-0010-0000-0400-000008000000}" name="机制BP"/>
    <tableColumn id="9" xr3:uid="{00000000-0010-0000-0400-000009000000}" name="生存衰减"/>
    <tableColumn id="10" xr3:uid="{00000000-0010-0000-0400-00000A000000}" name="最终BP"/>
    <tableColumn id="11" xr3:uid="{00000000-0010-0000-0400-00000B000000}" name="参考价"/>
    <tableColumn id="12" xr3:uid="{00000000-0010-0000-0400-00000C000000}" name="实际价"/>
    <tableColumn id="13" xr3:uid="{00000000-0010-0000-0400-00000D000000}" name="回收价"/>
    <tableColumn id="14" xr3:uid="{00000000-0010-0000-0400-00000E000000}" name="重复口径"/>
    <tableColumn id="15" xr3:uid="{00000000-0010-0000-0400-00000F000000}" name="入口"/>
    <tableColumn id="16" xr3:uid="{00000000-0010-0000-0400-000010000000}" name="开放波次"/>
    <tableColumn id="17" xr3:uid="{00000000-0010-0000-0400-000011000000}" name="基础权重"/>
    <tableColumn id="18" xr3:uid="{00000000-0010-0000-0400-000012000000}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eaponMainTable" displayName="WeaponMainTable" ref="A1:L9">
  <autoFilter ref="A1:L9" xr:uid="{00000000-0009-0000-0100-000006000000}"/>
  <tableColumns count="12">
    <tableColumn id="1" xr3:uid="{00000000-0010-0000-0500-000001000000}" name="武器ID"/>
    <tableColumn id="2" xr3:uid="{00000000-0010-0000-0500-000002000000}" name="名称"/>
    <tableColumn id="3" xr3:uid="{00000000-0010-0000-0500-000003000000}" name="品质"/>
    <tableColumn id="4" xr3:uid="{00000000-0010-0000-0500-000004000000}" name="主标签"/>
    <tableColumn id="5" xr3:uid="{00000000-0010-0000-0500-000005000000}" name="副标签"/>
    <tableColumn id="6" xr3:uid="{00000000-0010-0000-0500-000006000000}" name="定位"/>
    <tableColumn id="7" xr3:uid="{00000000-0010-0000-0500-000007000000}" name="基础开放波次"/>
    <tableColumn id="8" xr3:uid="{00000000-0010-0000-0500-000008000000}" name="基础权重"/>
    <tableColumn id="9" xr3:uid="{00000000-0010-0000-0500-000009000000}" name="1级价格"/>
    <tableColumn id="10" xr3:uid="{00000000-0010-0000-0500-00000A000000}" name="1级总BP"/>
    <tableColumn id="11" xr3:uid="{00000000-0010-0000-0500-00000B000000}" name="目标价格偏差"/>
    <tableColumn id="12" xr3:uid="{00000000-0010-0000-0500-00000C000000}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eaponLevelTable" displayName="WeaponLevelTable" ref="A1:W33">
  <autoFilter ref="A1:W33" xr:uid="{00000000-0009-0000-0100-000007000000}"/>
  <tableColumns count="23">
    <tableColumn id="1" xr3:uid="{00000000-0010-0000-0600-000001000000}" name="武器ID"/>
    <tableColumn id="2" xr3:uid="{00000000-0010-0000-0600-000002000000}" name="等级"/>
    <tableColumn id="3" xr3:uid="{00000000-0010-0000-0600-000003000000}" name="Attack"/>
    <tableColumn id="4" xr3:uid="{00000000-0010-0000-0600-000004000000}" name="AttackSpeed"/>
    <tableColumn id="5" xr3:uid="{00000000-0010-0000-0600-000005000000}" name="CriticalChance"/>
    <tableColumn id="6" xr3:uid="{00000000-0010-0000-0600-000006000000}" name="CriticalPercent"/>
    <tableColumn id="7" xr3:uid="{00000000-0010-0000-0600-000007000000}" name="Range"/>
    <tableColumn id="8" xr3:uid="{00000000-0010-0000-0600-000008000000}" name="Knockback"/>
    <tableColumn id="9" xr3:uid="{00000000-0010-0000-0600-000009000000}" name="MeleeUsage"/>
    <tableColumn id="10" xr3:uid="{00000000-0010-0000-0600-00000A000000}" name="RangedUsage"/>
    <tableColumn id="11" xr3:uid="{00000000-0010-0000-0600-00000B000000}" name="MagicUsage"/>
    <tableColumn id="12" xr3:uid="{00000000-0010-0000-0600-00000C000000}" name="SummonUsage"/>
    <tableColumn id="13" xr3:uid="{00000000-0010-0000-0600-00000D000000}" name="收益率"/>
    <tableColumn id="14" xr3:uid="{00000000-0010-0000-0600-00000E000000}" name="持有者属性"/>
    <tableColumn id="15" xr3:uid="{00000000-0010-0000-0600-00000F000000}" name="单体DPS"/>
    <tableColumn id="16" xr3:uid="{00000000-0010-0000-0600-000010000000}" name="群体修正"/>
    <tableColumn id="17" xr3:uid="{00000000-0010-0000-0600-000011000000}" name="机制修正"/>
    <tableColumn id="18" xr3:uid="{00000000-0010-0000-0600-000012000000}" name="安全修正"/>
    <tableColumn id="19" xr3:uid="{00000000-0010-0000-0600-000013000000}" name="等效DPS"/>
    <tableColumn id="20" xr3:uid="{00000000-0010-0000-0600-000014000000}" name="等级价值倍率"/>
    <tableColumn id="21" xr3:uid="{00000000-0010-0000-0600-000015000000}" name="等级价格"/>
    <tableColumn id="22" xr3:uid="{00000000-0010-0000-0600-000016000000}" name="价格偏差"/>
    <tableColumn id="23" xr3:uid="{00000000-0010-0000-0600-000017000000}" name="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onsterMainTable" displayName="MonsterMainTable" ref="A1:S11" totalsRowShown="0" headerRowDxfId="58" dataDxfId="56" headerRowBorderDxfId="57" tableBorderDxfId="55" totalsRowBorderDxfId="54">
  <autoFilter ref="A1:S11" xr:uid="{00000000-0009-0000-0100-000008000000}"/>
  <tableColumns count="19">
    <tableColumn id="1" xr3:uid="{00000000-0010-0000-0700-000001000000}" name="怪物ID" dataDxfId="53"/>
    <tableColumn id="2" xr3:uid="{00000000-0010-0000-0700-000002000000}" name="名称" dataDxfId="52"/>
    <tableColumn id="3" xr3:uid="{00000000-0010-0000-0700-000003000000}" name="定位" dataDxfId="51"/>
    <tableColumn id="4" xr3:uid="{00000000-0010-0000-0700-000004000000}" name="MaxHealth" dataDxfId="50"/>
    <tableColumn id="5" xr3:uid="{00000000-0010-0000-0700-000005000000}" name="Attack" dataDxfId="49"/>
    <tableColumn id="6" xr3:uid="{00000000-0010-0000-0700-000006000000}" name="AttackSpeed" dataDxfId="48"/>
    <tableColumn id="7" xr3:uid="{00000000-0010-0000-0700-000007000000}" name="MoveSpeed" dataDxfId="47"/>
    <tableColumn id="8" xr3:uid="{00000000-0010-0000-0700-000008000000}" name="DetectionRange" dataDxfId="46"/>
    <tableColumn id="9" xr3:uid="{00000000-0010-0000-0700-000009000000}" name="AttackRange" dataDxfId="45"/>
    <tableColumn id="10" xr3:uid="{00000000-0010-0000-0700-00000A000000}" name="Armor" dataDxfId="44"/>
    <tableColumn id="11" xr3:uid="{00000000-0010-0000-0700-00000B000000}" name="KnockbackResistance" dataDxfId="43"/>
    <tableColumn id="12" xr3:uid="{00000000-0010-0000-0700-00000C000000}" name="行为参数" dataDxfId="42"/>
    <tableColumn id="13" xr3:uid="{00000000-0010-0000-0700-00000D000000}" name="奖励基准" dataDxfId="41"/>
    <tableColumn id="14" xr3:uid="{00000000-0010-0000-0700-00000E000000}" name="默认标签" dataDxfId="40"/>
    <tableColumn id="15" xr3:uid="{00000000-0010-0000-0700-00000F000000}" name="命中可靠性" dataDxfId="39"/>
    <tableColumn id="16" xr3:uid="{00000000-0010-0000-0700-000010000000}" name="预期接触率" dataDxfId="38"/>
    <tableColumn id="17" xr3:uid="{00000000-0010-0000-0700-000011000000}" name="单体生存压力" dataDxfId="37">
      <calculatedColumnFormula>D2</calculatedColumnFormula>
    </tableColumn>
    <tableColumn id="18" xr3:uid="{00000000-0010-0000-0700-000012000000}" name="单体伤害压力" dataDxfId="36">
      <calculatedColumnFormula>ROUND(E2*(F2/100)*O2,2)</calculatedColumnFormula>
    </tableColumn>
    <tableColumn id="19" xr3:uid="{00000000-0010-0000-0700-000013000000}" name="备注" dataDxfId="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onsterWavePoolTable" displayName="MonsterWavePoolTable" ref="A1:K38" totalsRowShown="0" headerRowDxfId="34" dataDxfId="32" headerRowBorderDxfId="33" tableBorderDxfId="31" totalsRowBorderDxfId="30">
  <autoFilter ref="A1:K38" xr:uid="{00000000-0009-0000-0100-000009000000}"/>
  <tableColumns count="11">
    <tableColumn id="1" xr3:uid="{00000000-0010-0000-0800-000001000000}" name="怪物ID" dataDxfId="29"/>
    <tableColumn id="2" xr3:uid="{00000000-0010-0000-0800-000002000000}" name="波次段" dataDxfId="28"/>
    <tableColumn id="3" xr3:uid="{00000000-0010-0000-0800-000003000000}" name="权重" dataDxfId="27"/>
    <tableColumn id="4" xr3:uid="{00000000-0010-0000-0800-000004000000}" name="数量占比" dataDxfId="26"/>
    <tableColumn id="5" xr3:uid="{00000000-0010-0000-0800-000005000000}" name="额外压力标签" dataDxfId="25"/>
    <tableColumn id="6" xr3:uid="{00000000-0010-0000-0800-000006000000}" name="生成位置" dataDxfId="24"/>
    <tableColumn id="7" xr3:uid="{00000000-0010-0000-0800-000007000000}" name="奖励修正" dataDxfId="23"/>
    <tableColumn id="8" xr3:uid="{00000000-0010-0000-0800-000008000000}" name="关键波次面板" dataDxfId="22">
      <calculatedColumnFormula>"W20 HP "&amp;ROUND(VLOOKUP($A2,'06_怪物主表'!$A:$S,4,FALSE)*6*(IF(ISNUMBER(SEARCH("BossLike",$E2)),1.45,1)*IF(ISNUMBER(SEARCH("Boss;",$E2&amp;";")),1.6,1)*IF(ISNUMBER(SEARCH("Elite",$E2)),1.3,1)),0)&amp;" / Atk "&amp;ROUND(VLOOKUP($A2,'06_怪物主表'!$A:$S,5,FALSE)*2.1*(IF(ISNUMBER(SEARCH("BossLike",$E2)),1.18,1)*IF(ISNUMBER(SEARCH("Boss;",$E2&amp;";")),1.25,1)*IF(ISNUMBER(SEARCH("Elite",$E2)),1.18,1)*IF(ISNUMBER(SEARCH("Ranged",$E2)),1.05,1)),0)&amp;" / AS "&amp;ROUND(VLOOKUP($A2,'06_怪物主表'!$A:$S,6,FALSE)*1.25,0)</calculatedColumnFormula>
    </tableColumn>
    <tableColumn id="9" xr3:uid="{00000000-0010-0000-0800-000009000000}" name="目标击杀时间" dataDxfId="21"/>
    <tableColumn id="10" xr3:uid="{00000000-0010-0000-0800-00000A000000}" name="压力贡献" dataDxfId="20">
      <calculatedColumnFormula>IF(ISNUMBER($D2),ROUND(VLOOKUP($A2,'06_怪物主表'!$A:$S,18,FALSE)*$D2*VLOOKUP($A2,'06_怪物主表'!$A:$S,16,FALSE)*2.1*1.25*(IF(ISNUMBER(SEARCH("BossLike",$E2)),1.18,1)*IF(ISNUMBER(SEARCH("Boss;",$E2&amp;";")),1.25,1)*IF(ISNUMBER(SEARCH("Elite",$E2)),1.18,1)*IF(ISNUMBER(SEARCH("Ranged",$E2)),1.05,1)),2),"节点固定")</calculatedColumnFormula>
    </tableColumn>
    <tableColumn id="11" xr3:uid="{00000000-0010-0000-0800-00000B000000}" name="备注" dataDxfId="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WaveBudgetTable" displayName="WaveBudgetTable" ref="A1:P21">
  <autoFilter ref="A1:P21" xr:uid="{00000000-0009-0000-0100-00000A000000}"/>
  <tableColumns count="16">
    <tableColumn id="1" xr3:uid="{00000000-0010-0000-0900-000001000000}" name="波次ID"/>
    <tableColumn id="2" xr3:uid="{00000000-0010-0000-0900-000002000000}" name="持续时间"/>
    <tableColumn id="3" xr3:uid="{00000000-0010-0000-0900-000003000000}" name="目标玩家状态"/>
    <tableColumn id="4" xr3:uid="{00000000-0010-0000-0900-000004000000}" name="总刷怪数量"/>
    <tableColumn id="5" xr3:uid="{00000000-0010-0000-0900-000005000000}" name="每分钟密度"/>
    <tableColumn id="6" xr3:uid="{00000000-0010-0000-0900-000006000000}" name="时间分布"/>
    <tableColumn id="7" xr3:uid="{00000000-0010-0000-0900-000007000000}" name="目标同屏数量"/>
    <tableColumn id="8" xr3:uid="{00000000-0010-0000-0900-000008000000}" name="波次总生命池"/>
    <tableColumn id="9" xr3:uid="{00000000-0010-0000-0900-000009000000}" name="清场需求DPS"/>
    <tableColumn id="10" xr3:uid="{00000000-0010-0000-0900-00000A000000}" name="波次总伤害压力"/>
    <tableColumn id="11" xr3:uid="{00000000-0010-0000-0900-00000B000000}" name="普通怪结构"/>
    <tableColumn id="12" xr3:uid="{00000000-0010-0000-0900-00000C000000}" name="精英节奏"/>
    <tableColumn id="13" xr3:uid="{00000000-0010-0000-0900-00000D000000}" name="Boss节奏"/>
    <tableColumn id="14" xr3:uid="{00000000-0010-0000-0900-00000E000000}" name="生成位置"/>
    <tableColumn id="15" xr3:uid="{00000000-0010-0000-0900-00000F000000}" name="掉落/经济目标"/>
    <tableColumn id="16" xr3:uid="{00000000-0010-0000-0900-000010000000}" name="备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hopContentPoolTable" displayName="ShopContentPoolTable" ref="A1:M81">
  <autoFilter ref="A1:M81" xr:uid="{00000000-0009-0000-0100-00000B000000}"/>
  <tableColumns count="13">
    <tableColumn id="1" xr3:uid="{00000000-0010-0000-0A00-000001000000}" name="池条目ID"/>
    <tableColumn id="2" xr3:uid="{00000000-0010-0000-0A00-000002000000}" name="内容类型"/>
    <tableColumn id="3" xr3:uid="{00000000-0010-0000-0A00-000003000000}" name="内容ID"/>
    <tableColumn id="4" xr3:uid="{00000000-0010-0000-0A00-000004000000}" name="品质/等级"/>
    <tableColumn id="5" xr3:uid="{00000000-0010-0000-0A00-000005000000}" name="开放波次"/>
    <tableColumn id="6" xr3:uid="{00000000-0010-0000-0A00-000006000000}" name="关闭波次"/>
    <tableColumn id="7" xr3:uid="{00000000-0010-0000-0A00-000007000000}" name="基础权重"/>
    <tableColumn id="8" xr3:uid="{00000000-0010-0000-0A00-000008000000}" name="幸运系数"/>
    <tableColumn id="9" xr3:uid="{00000000-0010-0000-0A00-000009000000}" name="内容池价格倍率"/>
    <tableColumn id="10" xr3:uid="{00000000-0010-0000-0A00-00000A000000}" name="重复规则"/>
    <tableColumn id="11" xr3:uid="{00000000-0010-0000-0A00-00000B000000}" name="替代规则"/>
    <tableColumn id="12" xr3:uid="{00000000-0010-0000-0A00-00000C000000}" name="期望入口"/>
    <tableColumn id="13" xr3:uid="{00000000-0010-0000-0A00-00000D000000}" name="备注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ropRewardPoolTable" displayName="DropRewardPoolTable" ref="A1:N24" totalsRowShown="0" headerRowDxfId="18" dataDxfId="16" headerRowBorderDxfId="17" tableBorderDxfId="15" totalsRowBorderDxfId="14">
  <autoFilter ref="A1:N24" xr:uid="{00000000-0009-0000-0100-00000C000000}"/>
  <tableColumns count="14">
    <tableColumn id="1" xr3:uid="{00000000-0010-0000-0B00-000001000000}" name="奖励池ID" dataDxfId="13"/>
    <tableColumn id="2" xr3:uid="{00000000-0010-0000-0B00-000002000000}" name="来源类型" dataDxfId="12"/>
    <tableColumn id="3" xr3:uid="{00000000-0010-0000-0B00-000003000000}" name="来源ID" dataDxfId="11"/>
    <tableColumn id="4" xr3:uid="{00000000-0010-0000-0B00-000004000000}" name="击杀经验" dataDxfId="10"/>
    <tableColumn id="5" xr3:uid="{00000000-0010-0000-0B00-000005000000}" name="奖励掉落率" dataDxfId="9"/>
    <tableColumn id="6" xr3:uid="{00000000-0010-0000-0B00-000006000000}" name="掉落率上限" dataDxfId="8"/>
    <tableColumn id="7" xr3:uid="{00000000-0010-0000-0B00-000007000000}" name="产物类型" dataDxfId="7"/>
    <tableColumn id="8" xr3:uid="{00000000-0010-0000-0B00-000008000000}" name="产物ID或池" dataDxfId="6"/>
    <tableColumn id="9" xr3:uid="{00000000-0010-0000-0B00-000009000000}" name="产物数量/价值" dataDxfId="5"/>
    <tableColumn id="10" xr3:uid="{00000000-0010-0000-0B00-00000A000000}" name="基础权重" dataDxfId="4"/>
    <tableColumn id="11" xr3:uid="{00000000-0010-0000-0B00-00000B000000}" name="幸运系数" dataDxfId="3"/>
    <tableColumn id="12" xr3:uid="{00000000-0010-0000-0B00-00000C000000}" name="品质/等级权重" dataDxfId="2"/>
    <tableColumn id="13" xr3:uid="{00000000-0010-0000-0B00-00000D000000}" name="期望收益" dataDxfId="1">
      <calculatedColumnFormula>IF(AND(ISNUMBER(E2),ISNUMBER(I2)),ROUND(E2*I2,2),IF(ISNUMBER(J2),J2&amp;" 权重","按入口"))</calculatedColumnFormula>
    </tableColumn>
    <tableColumn id="14" xr3:uid="{00000000-0010-0000-0B00-00000E000000}" name="备注" dataDxfId="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ValidationSummaryTable" displayName="ValidationSummaryTable" ref="A1:P5">
  <autoFilter ref="A1:P5" xr:uid="{00000000-0009-0000-0100-00000D000000}"/>
  <tableColumns count="16">
    <tableColumn id="1" xr3:uid="{00000000-0010-0000-0C00-000001000000}" name="校验ID"/>
    <tableColumn id="2" xr3:uid="{00000000-0010-0000-0C00-000002000000}" name="波次"/>
    <tableColumn id="3" xr3:uid="{00000000-0010-0000-0C00-000003000000}" name="标准构筑"/>
    <tableColumn id="4" xr3:uid="{00000000-0010-0000-0C00-000004000000}" name="玩家状态"/>
    <tableColumn id="5" xr3:uid="{00000000-0010-0000-0C00-000005000000}" name="武器状态"/>
    <tableColumn id="6" xr3:uid="{00000000-0010-0000-0C00-000006000000}" name="饰品状态"/>
    <tableColumn id="7" xr3:uid="{00000000-0010-0000-0C00-000007000000}" name="有效单体DPS"/>
    <tableColumn id="8" xr3:uid="{00000000-0010-0000-0C00-000008000000}" name="群体等效DPS"/>
    <tableColumn id="9" xr3:uid="{00000000-0010-0000-0C00-000009000000}" name="瞬时EHP"/>
    <tableColumn id="10" xr3:uid="{00000000-0010-0000-0C00-00000A000000}" name="持续生存"/>
    <tableColumn id="11" xr3:uid="{00000000-0010-0000-0C00-00000B000000}" name="普通怪击杀时间"/>
    <tableColumn id="12" xr3:uid="{00000000-0010-0000-0C00-00000C000000}" name="重型/精英/Boss击杀时间"/>
    <tableColumn id="13" xr3:uid="{00000000-0010-0000-0C00-00000D000000}" name="清场压力"/>
    <tableColumn id="14" xr3:uid="{00000000-0010-0000-0C00-00000E000000}" name="经济偏差"/>
    <tableColumn id="15" xr3:uid="{00000000-0010-0000-0C00-00000F000000}" name="问题归因"/>
    <tableColumn id="16" xr3:uid="{00000000-0010-0000-0C00-000010000000}" name="调整建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0" customWidth="1"/>
    <col min="2" max="2" width="38" customWidth="1"/>
  </cols>
  <sheetData>
    <row r="1" spans="1:2" ht="30" customHeight="1">
      <c r="A1" s="1" t="s">
        <v>82</v>
      </c>
      <c r="B1" s="1" t="s">
        <v>83</v>
      </c>
    </row>
    <row r="2" spans="1:2" ht="28.8" customHeight="1">
      <c r="A2" s="2" t="s">
        <v>84</v>
      </c>
      <c r="B2" s="2" t="s">
        <v>85</v>
      </c>
    </row>
    <row r="3" spans="1:2" ht="43.2" customHeight="1">
      <c r="A3" s="2" t="s">
        <v>86</v>
      </c>
      <c r="B3" s="2" t="s">
        <v>87</v>
      </c>
    </row>
    <row r="4" spans="1:2">
      <c r="A4" s="2" t="s">
        <v>88</v>
      </c>
      <c r="B4" s="2" t="s">
        <v>89</v>
      </c>
    </row>
    <row r="5" spans="1:2" ht="43.2" customHeight="1">
      <c r="A5" s="2" t="s">
        <v>90</v>
      </c>
      <c r="B5" s="2" t="s">
        <v>91</v>
      </c>
    </row>
    <row r="6" spans="1:2" ht="28.8" customHeight="1">
      <c r="A6" s="2" t="s">
        <v>92</v>
      </c>
      <c r="B6" s="2" t="s">
        <v>93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0" customWidth="1"/>
    <col min="2" max="2" width="11" customWidth="1"/>
    <col min="3" max="4" width="10" customWidth="1"/>
    <col min="5" max="5" width="15" customWidth="1"/>
  </cols>
  <sheetData>
    <row r="1" spans="1:5" ht="30" customHeight="1">
      <c r="A1" s="1" t="s">
        <v>94</v>
      </c>
      <c r="B1" s="1" t="s">
        <v>1</v>
      </c>
      <c r="C1" s="1" t="s">
        <v>95</v>
      </c>
      <c r="D1" s="1" t="s">
        <v>96</v>
      </c>
      <c r="E1" s="1" t="s">
        <v>83</v>
      </c>
    </row>
    <row r="2" spans="1:5" ht="28.8" customHeight="1">
      <c r="A2" s="2" t="s">
        <v>97</v>
      </c>
      <c r="B2" s="2" t="s">
        <v>98</v>
      </c>
      <c r="C2" s="3">
        <v>100</v>
      </c>
      <c r="D2" s="2"/>
      <c r="E2" s="2" t="s">
        <v>99</v>
      </c>
    </row>
    <row r="3" spans="1:5" ht="28.8" customHeight="1">
      <c r="A3" s="2" t="s">
        <v>97</v>
      </c>
      <c r="B3" s="2" t="s">
        <v>100</v>
      </c>
      <c r="C3" s="3">
        <v>150</v>
      </c>
      <c r="D3" s="2"/>
      <c r="E3" s="2" t="s">
        <v>99</v>
      </c>
    </row>
    <row r="4" spans="1:5" ht="28.8" customHeight="1">
      <c r="A4" s="2" t="s">
        <v>97</v>
      </c>
      <c r="B4" s="2" t="s">
        <v>101</v>
      </c>
      <c r="C4" s="3">
        <v>225</v>
      </c>
      <c r="D4" s="2"/>
      <c r="E4" s="2" t="s">
        <v>99</v>
      </c>
    </row>
    <row r="5" spans="1:5" ht="28.8" customHeight="1">
      <c r="A5" s="2" t="s">
        <v>97</v>
      </c>
      <c r="B5" s="2" t="s">
        <v>102</v>
      </c>
      <c r="C5" s="3">
        <v>350</v>
      </c>
      <c r="D5" s="2"/>
      <c r="E5" s="2" t="s">
        <v>99</v>
      </c>
    </row>
    <row r="6" spans="1:5" ht="28.8" customHeight="1">
      <c r="A6" s="2" t="s">
        <v>103</v>
      </c>
      <c r="B6" s="2" t="s">
        <v>98</v>
      </c>
      <c r="C6" s="3">
        <v>60</v>
      </c>
      <c r="D6" s="3">
        <v>110</v>
      </c>
      <c r="E6" s="2" t="s">
        <v>104</v>
      </c>
    </row>
    <row r="7" spans="1:5" ht="28.8" customHeight="1">
      <c r="A7" s="2" t="s">
        <v>103</v>
      </c>
      <c r="B7" s="2" t="s">
        <v>100</v>
      </c>
      <c r="C7" s="3">
        <v>110</v>
      </c>
      <c r="D7" s="3">
        <v>180</v>
      </c>
      <c r="E7" s="2" t="s">
        <v>105</v>
      </c>
    </row>
    <row r="8" spans="1:5" ht="28.8" customHeight="1">
      <c r="A8" s="2" t="s">
        <v>103</v>
      </c>
      <c r="B8" s="2" t="s">
        <v>101</v>
      </c>
      <c r="C8" s="3">
        <v>180</v>
      </c>
      <c r="D8" s="3">
        <v>280</v>
      </c>
      <c r="E8" s="2" t="s">
        <v>106</v>
      </c>
    </row>
    <row r="9" spans="1:5" ht="28.8" customHeight="1">
      <c r="A9" s="2" t="s">
        <v>103</v>
      </c>
      <c r="B9" s="2" t="s">
        <v>102</v>
      </c>
      <c r="C9" s="3">
        <v>280</v>
      </c>
      <c r="D9" s="3">
        <v>500</v>
      </c>
      <c r="E9" s="2" t="s">
        <v>107</v>
      </c>
    </row>
    <row r="10" spans="1:5" ht="28.8" customHeight="1">
      <c r="A10" s="2" t="s">
        <v>108</v>
      </c>
      <c r="B10" s="2" t="s">
        <v>109</v>
      </c>
      <c r="C10" s="3">
        <v>4</v>
      </c>
      <c r="D10" s="2"/>
      <c r="E10" s="2" t="s">
        <v>110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3" customWidth="1"/>
    <col min="2" max="4" width="10" customWidth="1"/>
    <col min="5" max="5" width="20" customWidth="1"/>
    <col min="6" max="6" width="21" customWidth="1"/>
  </cols>
  <sheetData>
    <row r="1" spans="1:6" ht="30" customHeight="1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18</v>
      </c>
    </row>
    <row r="2" spans="1:6" ht="28.8" customHeight="1">
      <c r="A2" s="2" t="s">
        <v>4</v>
      </c>
      <c r="B2" s="2" t="s">
        <v>116</v>
      </c>
      <c r="C2" s="2" t="s">
        <v>117</v>
      </c>
      <c r="D2" s="3">
        <v>40</v>
      </c>
      <c r="E2" s="2" t="s">
        <v>118</v>
      </c>
      <c r="F2" s="2" t="s">
        <v>119</v>
      </c>
    </row>
    <row r="3" spans="1:6">
      <c r="A3" s="2" t="s">
        <v>120</v>
      </c>
      <c r="B3" s="2" t="s">
        <v>121</v>
      </c>
      <c r="C3" s="2" t="s">
        <v>122</v>
      </c>
      <c r="D3" s="3">
        <v>20</v>
      </c>
      <c r="E3" s="2" t="s">
        <v>123</v>
      </c>
      <c r="F3" s="2" t="s">
        <v>124</v>
      </c>
    </row>
    <row r="4" spans="1:6" ht="28.8" customHeight="1">
      <c r="A4" s="2" t="s">
        <v>125</v>
      </c>
      <c r="B4" s="2" t="s">
        <v>116</v>
      </c>
      <c r="C4" s="2" t="s">
        <v>122</v>
      </c>
      <c r="D4" s="3">
        <v>20</v>
      </c>
      <c r="E4" s="2" t="s">
        <v>126</v>
      </c>
      <c r="F4" s="2" t="s">
        <v>127</v>
      </c>
    </row>
    <row r="5" spans="1:6" ht="28.8" customHeight="1">
      <c r="A5" s="2" t="s">
        <v>128</v>
      </c>
      <c r="B5" s="2" t="s">
        <v>116</v>
      </c>
      <c r="C5" s="2" t="s">
        <v>122</v>
      </c>
      <c r="D5" s="3">
        <v>20</v>
      </c>
      <c r="E5" s="2" t="s">
        <v>126</v>
      </c>
      <c r="F5" s="2" t="s">
        <v>127</v>
      </c>
    </row>
    <row r="6" spans="1:6" ht="28.8" customHeight="1">
      <c r="A6" s="2" t="s">
        <v>129</v>
      </c>
      <c r="B6" s="2" t="s">
        <v>116</v>
      </c>
      <c r="C6" s="2" t="s">
        <v>122</v>
      </c>
      <c r="D6" s="3">
        <v>20</v>
      </c>
      <c r="E6" s="2" t="s">
        <v>126</v>
      </c>
      <c r="F6" s="2" t="s">
        <v>127</v>
      </c>
    </row>
    <row r="7" spans="1:6" ht="28.8" customHeight="1">
      <c r="A7" s="2" t="s">
        <v>130</v>
      </c>
      <c r="B7" s="2" t="s">
        <v>116</v>
      </c>
      <c r="C7" s="2" t="s">
        <v>122</v>
      </c>
      <c r="D7" s="3">
        <v>20</v>
      </c>
      <c r="E7" s="2" t="s">
        <v>126</v>
      </c>
      <c r="F7" s="2" t="s">
        <v>127</v>
      </c>
    </row>
    <row r="8" spans="1:6" ht="28.8" customHeight="1">
      <c r="A8" s="2" t="s">
        <v>5</v>
      </c>
      <c r="B8" s="2" t="s">
        <v>131</v>
      </c>
      <c r="C8" s="2" t="s">
        <v>122</v>
      </c>
      <c r="D8" s="3">
        <v>20</v>
      </c>
      <c r="E8" s="2" t="s">
        <v>132</v>
      </c>
      <c r="F8" s="2" t="s">
        <v>133</v>
      </c>
    </row>
    <row r="9" spans="1:6">
      <c r="A9" s="2" t="s">
        <v>134</v>
      </c>
      <c r="B9" s="2" t="s">
        <v>121</v>
      </c>
      <c r="C9" s="2" t="s">
        <v>122</v>
      </c>
      <c r="D9" s="3">
        <v>50</v>
      </c>
      <c r="E9" s="2" t="s">
        <v>135</v>
      </c>
      <c r="F9" s="2" t="s">
        <v>136</v>
      </c>
    </row>
    <row r="10" spans="1:6" ht="28.8" customHeight="1">
      <c r="A10" s="2" t="s">
        <v>137</v>
      </c>
      <c r="B10" s="2" t="s">
        <v>121</v>
      </c>
      <c r="C10" s="2" t="s">
        <v>122</v>
      </c>
      <c r="D10" s="3">
        <v>12</v>
      </c>
      <c r="E10" s="2" t="s">
        <v>138</v>
      </c>
      <c r="F10" s="2" t="s">
        <v>139</v>
      </c>
    </row>
    <row r="11" spans="1:6">
      <c r="A11" s="2" t="s">
        <v>6</v>
      </c>
      <c r="B11" s="2" t="s">
        <v>140</v>
      </c>
      <c r="C11" s="2" t="s">
        <v>122</v>
      </c>
      <c r="D11" s="3">
        <v>10</v>
      </c>
      <c r="E11" s="2" t="s">
        <v>141</v>
      </c>
      <c r="F11" s="2" t="s">
        <v>142</v>
      </c>
    </row>
    <row r="12" spans="1:6">
      <c r="A12" s="2" t="s">
        <v>3</v>
      </c>
      <c r="B12" s="2" t="s">
        <v>116</v>
      </c>
      <c r="C12" s="2" t="s">
        <v>122</v>
      </c>
      <c r="D12" s="3">
        <v>5</v>
      </c>
      <c r="E12" s="2" t="s">
        <v>143</v>
      </c>
      <c r="F12" s="2" t="s">
        <v>144</v>
      </c>
    </row>
    <row r="13" spans="1:6">
      <c r="A13" s="2" t="s">
        <v>7</v>
      </c>
      <c r="B13" s="2" t="s">
        <v>145</v>
      </c>
      <c r="C13" s="2" t="s">
        <v>117</v>
      </c>
      <c r="D13" s="2"/>
      <c r="E13" s="2" t="s">
        <v>146</v>
      </c>
      <c r="F13" s="2" t="s">
        <v>147</v>
      </c>
    </row>
    <row r="14" spans="1:6" ht="28.8" customHeight="1">
      <c r="A14" s="2" t="s">
        <v>148</v>
      </c>
      <c r="B14" s="2" t="s">
        <v>149</v>
      </c>
      <c r="C14" s="2" t="s">
        <v>122</v>
      </c>
      <c r="D14" s="3">
        <v>10</v>
      </c>
      <c r="E14" s="2" t="s">
        <v>150</v>
      </c>
      <c r="F14" s="2" t="s">
        <v>151</v>
      </c>
    </row>
    <row r="15" spans="1:6" ht="28.8" customHeight="1">
      <c r="A15" s="2" t="s">
        <v>9</v>
      </c>
      <c r="B15" s="2" t="s">
        <v>116</v>
      </c>
      <c r="C15" s="2" t="s">
        <v>122</v>
      </c>
      <c r="D15" s="3">
        <v>80</v>
      </c>
      <c r="E15" s="2" t="s">
        <v>152</v>
      </c>
      <c r="F15" s="2" t="s">
        <v>153</v>
      </c>
    </row>
    <row r="16" spans="1:6" ht="28.8" customHeight="1">
      <c r="A16" s="2" t="s">
        <v>154</v>
      </c>
      <c r="B16" s="2" t="s">
        <v>116</v>
      </c>
      <c r="C16" s="2" t="s">
        <v>122</v>
      </c>
      <c r="D16" s="3">
        <v>20</v>
      </c>
      <c r="E16" s="2" t="s">
        <v>155</v>
      </c>
      <c r="F16" s="2" t="s">
        <v>156</v>
      </c>
    </row>
    <row r="17" spans="1:6">
      <c r="A17" s="2" t="s">
        <v>157</v>
      </c>
      <c r="B17" s="2" t="s">
        <v>121</v>
      </c>
      <c r="C17" s="2" t="s">
        <v>122</v>
      </c>
      <c r="D17" s="3">
        <v>33</v>
      </c>
      <c r="E17" s="2" t="s">
        <v>158</v>
      </c>
      <c r="F17" s="2" t="s">
        <v>159</v>
      </c>
    </row>
    <row r="18" spans="1:6">
      <c r="A18" s="2" t="s">
        <v>160</v>
      </c>
      <c r="B18" s="2" t="s">
        <v>121</v>
      </c>
      <c r="C18" s="2" t="s">
        <v>117</v>
      </c>
      <c r="D18" s="3">
        <v>20</v>
      </c>
      <c r="E18" s="2" t="s">
        <v>150</v>
      </c>
      <c r="F18" s="2" t="s">
        <v>161</v>
      </c>
    </row>
    <row r="19" spans="1:6">
      <c r="A19" s="2" t="s">
        <v>162</v>
      </c>
      <c r="B19" s="2" t="s">
        <v>145</v>
      </c>
      <c r="C19" s="2" t="s">
        <v>117</v>
      </c>
      <c r="D19" s="3">
        <v>5</v>
      </c>
      <c r="E19" s="2" t="s">
        <v>150</v>
      </c>
      <c r="F19" s="2" t="s">
        <v>163</v>
      </c>
    </row>
    <row r="20" spans="1:6">
      <c r="A20" s="2" t="s">
        <v>164</v>
      </c>
      <c r="B20" s="2" t="s">
        <v>116</v>
      </c>
      <c r="C20" s="2" t="s">
        <v>117</v>
      </c>
      <c r="D20" s="3">
        <v>5</v>
      </c>
      <c r="E20" s="2" t="s">
        <v>146</v>
      </c>
      <c r="F20" s="2" t="s">
        <v>165</v>
      </c>
    </row>
    <row r="21" spans="1:6" ht="28.8" customHeight="1">
      <c r="A21" s="2" t="s">
        <v>8</v>
      </c>
      <c r="B21" s="2" t="s">
        <v>145</v>
      </c>
      <c r="C21" s="2" t="s">
        <v>122</v>
      </c>
      <c r="D21" s="3">
        <v>8</v>
      </c>
      <c r="E21" s="2" t="s">
        <v>166</v>
      </c>
      <c r="F21" s="2" t="s">
        <v>167</v>
      </c>
    </row>
    <row r="22" spans="1:6" ht="28.8" customHeight="1">
      <c r="A22" s="2" t="s">
        <v>168</v>
      </c>
      <c r="B22" s="2" t="s">
        <v>116</v>
      </c>
      <c r="C22" s="2" t="s">
        <v>117</v>
      </c>
      <c r="D22" s="3">
        <v>200</v>
      </c>
      <c r="E22" s="2" t="s">
        <v>169</v>
      </c>
      <c r="F22" s="2" t="s">
        <v>170</v>
      </c>
    </row>
    <row r="23" spans="1:6">
      <c r="A23" s="2" t="s">
        <v>171</v>
      </c>
      <c r="B23" s="2" t="s">
        <v>116</v>
      </c>
      <c r="C23" s="2" t="s">
        <v>117</v>
      </c>
      <c r="D23" s="3">
        <v>5</v>
      </c>
      <c r="E23" s="2" t="s">
        <v>172</v>
      </c>
      <c r="F23" s="2" t="s">
        <v>173</v>
      </c>
    </row>
    <row r="24" spans="1:6">
      <c r="A24" s="2" t="s">
        <v>10</v>
      </c>
      <c r="B24" s="2" t="s">
        <v>121</v>
      </c>
      <c r="C24" s="2" t="s">
        <v>117</v>
      </c>
      <c r="D24" s="3">
        <v>5</v>
      </c>
      <c r="E24" s="2" t="s">
        <v>135</v>
      </c>
      <c r="F24" s="2" t="s">
        <v>174</v>
      </c>
    </row>
    <row r="25" spans="1:6">
      <c r="A25" s="2" t="s">
        <v>175</v>
      </c>
      <c r="B25" s="2" t="s">
        <v>121</v>
      </c>
      <c r="C25" s="2" t="s">
        <v>117</v>
      </c>
      <c r="D25" s="3">
        <v>15</v>
      </c>
      <c r="E25" s="2" t="s">
        <v>150</v>
      </c>
      <c r="F25" s="2" t="s">
        <v>176</v>
      </c>
    </row>
    <row r="26" spans="1:6">
      <c r="A26" s="2" t="s">
        <v>177</v>
      </c>
      <c r="B26" s="2" t="s">
        <v>121</v>
      </c>
      <c r="C26" s="2" t="s">
        <v>117</v>
      </c>
      <c r="D26" s="3">
        <v>15</v>
      </c>
      <c r="E26" s="2" t="s">
        <v>178</v>
      </c>
      <c r="F26" s="2" t="s">
        <v>179</v>
      </c>
    </row>
    <row r="27" spans="1:6" ht="28.8" customHeight="1">
      <c r="A27" s="2" t="s">
        <v>180</v>
      </c>
      <c r="B27" s="2" t="s">
        <v>116</v>
      </c>
      <c r="C27" s="2" t="s">
        <v>117</v>
      </c>
      <c r="D27" s="3">
        <v>12.5</v>
      </c>
      <c r="E27" s="2" t="s">
        <v>169</v>
      </c>
      <c r="F27" s="2" t="s">
        <v>176</v>
      </c>
    </row>
    <row r="28" spans="1:6" ht="28.8" customHeight="1">
      <c r="A28" s="2" t="s">
        <v>181</v>
      </c>
      <c r="B28" s="2" t="s">
        <v>121</v>
      </c>
      <c r="C28" s="2" t="s">
        <v>117</v>
      </c>
      <c r="D28" s="3">
        <v>25</v>
      </c>
      <c r="E28" s="2" t="s">
        <v>182</v>
      </c>
      <c r="F28" s="2" t="s">
        <v>183</v>
      </c>
    </row>
    <row r="29" spans="1:6" ht="28.8" customHeight="1">
      <c r="A29" s="2" t="s">
        <v>184</v>
      </c>
      <c r="B29" s="2" t="s">
        <v>121</v>
      </c>
      <c r="C29" s="2" t="s">
        <v>117</v>
      </c>
      <c r="D29" s="3">
        <v>10</v>
      </c>
      <c r="E29" s="2" t="s">
        <v>185</v>
      </c>
      <c r="F29" s="2" t="s">
        <v>186</v>
      </c>
    </row>
    <row r="30" spans="1:6" ht="28.8" customHeight="1">
      <c r="A30" s="2" t="s">
        <v>187</v>
      </c>
      <c r="B30" s="2" t="s">
        <v>116</v>
      </c>
      <c r="C30" s="2" t="s">
        <v>117</v>
      </c>
      <c r="D30" s="3">
        <v>400</v>
      </c>
      <c r="E30" s="2" t="s">
        <v>188</v>
      </c>
      <c r="F30" s="2" t="s">
        <v>189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5" customWidth="1"/>
    <col min="2" max="2" width="25" customWidth="1"/>
    <col min="3" max="3" width="11" customWidth="1"/>
    <col min="4" max="4" width="10" customWidth="1"/>
    <col min="5" max="5" width="11" customWidth="1"/>
    <col min="6" max="6" width="21" customWidth="1"/>
    <col min="7" max="16" width="10" customWidth="1"/>
    <col min="17" max="17" width="29" customWidth="1"/>
  </cols>
  <sheetData>
    <row r="1" spans="1:17" ht="30" customHeight="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111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18</v>
      </c>
    </row>
    <row r="2" spans="1:17" ht="28.8" customHeight="1">
      <c r="A2" s="2" t="s">
        <v>205</v>
      </c>
      <c r="B2" s="2" t="s">
        <v>206</v>
      </c>
      <c r="C2" s="2" t="s">
        <v>207</v>
      </c>
      <c r="D2" s="2" t="s">
        <v>208</v>
      </c>
      <c r="E2" s="2" t="s">
        <v>98</v>
      </c>
      <c r="F2" s="2" t="s">
        <v>120</v>
      </c>
      <c r="G2" s="3">
        <v>5</v>
      </c>
      <c r="H2" s="3">
        <v>100</v>
      </c>
      <c r="I2" s="3">
        <v>1</v>
      </c>
      <c r="J2" s="2">
        <f t="shared" ref="J2:J33" si="0">H2*I2</f>
        <v>100</v>
      </c>
      <c r="K2" s="3">
        <v>100</v>
      </c>
      <c r="L2" s="2">
        <f t="shared" ref="L2:L33" si="1">J2-K2</f>
        <v>0</v>
      </c>
      <c r="M2" s="2" t="s">
        <v>209</v>
      </c>
      <c r="N2" s="3">
        <v>100</v>
      </c>
      <c r="O2" s="3">
        <v>0.95</v>
      </c>
      <c r="P2" s="2" t="s">
        <v>210</v>
      </c>
      <c r="Q2" s="2" t="s">
        <v>211</v>
      </c>
    </row>
    <row r="3" spans="1:17" ht="28.8" customHeight="1">
      <c r="A3" s="2" t="s">
        <v>212</v>
      </c>
      <c r="B3" s="2" t="s">
        <v>206</v>
      </c>
      <c r="C3" s="2" t="s">
        <v>213</v>
      </c>
      <c r="D3" s="2" t="s">
        <v>208</v>
      </c>
      <c r="E3" s="2" t="s">
        <v>100</v>
      </c>
      <c r="F3" s="2" t="s">
        <v>120</v>
      </c>
      <c r="G3" s="3">
        <v>8</v>
      </c>
      <c r="H3" s="3">
        <v>160</v>
      </c>
      <c r="I3" s="3">
        <v>1</v>
      </c>
      <c r="J3" s="2">
        <f t="shared" si="0"/>
        <v>160</v>
      </c>
      <c r="K3" s="3">
        <v>150</v>
      </c>
      <c r="L3" s="2">
        <f t="shared" si="1"/>
        <v>10</v>
      </c>
      <c r="M3" s="2" t="s">
        <v>209</v>
      </c>
      <c r="N3" s="3">
        <v>100</v>
      </c>
      <c r="O3" s="3">
        <v>0.95</v>
      </c>
      <c r="P3" s="2" t="s">
        <v>210</v>
      </c>
      <c r="Q3" s="2" t="s">
        <v>211</v>
      </c>
    </row>
    <row r="4" spans="1:17" ht="28.8" customHeight="1">
      <c r="A4" s="2" t="s">
        <v>214</v>
      </c>
      <c r="B4" s="2" t="s">
        <v>206</v>
      </c>
      <c r="C4" s="2" t="s">
        <v>215</v>
      </c>
      <c r="D4" s="2" t="s">
        <v>208</v>
      </c>
      <c r="E4" s="2" t="s">
        <v>101</v>
      </c>
      <c r="F4" s="2" t="s">
        <v>120</v>
      </c>
      <c r="G4" s="3">
        <v>11</v>
      </c>
      <c r="H4" s="3">
        <v>220</v>
      </c>
      <c r="I4" s="3">
        <v>1</v>
      </c>
      <c r="J4" s="2">
        <f t="shared" si="0"/>
        <v>220</v>
      </c>
      <c r="K4" s="3">
        <v>225</v>
      </c>
      <c r="L4" s="2">
        <f t="shared" si="1"/>
        <v>-5</v>
      </c>
      <c r="M4" s="2" t="s">
        <v>209</v>
      </c>
      <c r="N4" s="3">
        <v>100</v>
      </c>
      <c r="O4" s="3">
        <v>0.95</v>
      </c>
      <c r="P4" s="2" t="s">
        <v>210</v>
      </c>
      <c r="Q4" s="2" t="s">
        <v>211</v>
      </c>
    </row>
    <row r="5" spans="1:17" ht="28.8" customHeight="1">
      <c r="A5" s="2" t="s">
        <v>216</v>
      </c>
      <c r="B5" s="2" t="s">
        <v>206</v>
      </c>
      <c r="C5" s="2" t="s">
        <v>217</v>
      </c>
      <c r="D5" s="2" t="s">
        <v>208</v>
      </c>
      <c r="E5" s="2" t="s">
        <v>102</v>
      </c>
      <c r="F5" s="2" t="s">
        <v>120</v>
      </c>
      <c r="G5" s="3">
        <v>17</v>
      </c>
      <c r="H5" s="3">
        <v>340</v>
      </c>
      <c r="I5" s="3">
        <v>1</v>
      </c>
      <c r="J5" s="2">
        <f t="shared" si="0"/>
        <v>340</v>
      </c>
      <c r="K5" s="3">
        <v>350</v>
      </c>
      <c r="L5" s="2">
        <f t="shared" si="1"/>
        <v>-10</v>
      </c>
      <c r="M5" s="2" t="s">
        <v>209</v>
      </c>
      <c r="N5" s="3">
        <v>100</v>
      </c>
      <c r="O5" s="3">
        <v>0.95</v>
      </c>
      <c r="P5" s="2" t="s">
        <v>210</v>
      </c>
      <c r="Q5" s="2" t="s">
        <v>211</v>
      </c>
    </row>
    <row r="6" spans="1:17" ht="28.8" customHeight="1">
      <c r="A6" s="2" t="s">
        <v>218</v>
      </c>
      <c r="B6" s="2" t="s">
        <v>219</v>
      </c>
      <c r="C6" s="2" t="s">
        <v>220</v>
      </c>
      <c r="D6" s="2" t="s">
        <v>208</v>
      </c>
      <c r="E6" s="2" t="s">
        <v>98</v>
      </c>
      <c r="F6" s="2" t="s">
        <v>5</v>
      </c>
      <c r="G6" s="3">
        <v>5</v>
      </c>
      <c r="H6" s="3">
        <v>100</v>
      </c>
      <c r="I6" s="3">
        <v>1</v>
      </c>
      <c r="J6" s="2">
        <f t="shared" si="0"/>
        <v>100</v>
      </c>
      <c r="K6" s="3">
        <v>100</v>
      </c>
      <c r="L6" s="2">
        <f t="shared" si="1"/>
        <v>0</v>
      </c>
      <c r="M6" s="2" t="s">
        <v>209</v>
      </c>
      <c r="N6" s="3">
        <v>100</v>
      </c>
      <c r="O6" s="3">
        <v>0.95</v>
      </c>
      <c r="P6" s="2" t="s">
        <v>210</v>
      </c>
      <c r="Q6" s="2" t="s">
        <v>221</v>
      </c>
    </row>
    <row r="7" spans="1:17" ht="28.8" customHeight="1">
      <c r="A7" s="2" t="s">
        <v>222</v>
      </c>
      <c r="B7" s="2" t="s">
        <v>219</v>
      </c>
      <c r="C7" s="2" t="s">
        <v>223</v>
      </c>
      <c r="D7" s="2" t="s">
        <v>208</v>
      </c>
      <c r="E7" s="2" t="s">
        <v>100</v>
      </c>
      <c r="F7" s="2" t="s">
        <v>5</v>
      </c>
      <c r="G7" s="3">
        <v>8</v>
      </c>
      <c r="H7" s="3">
        <v>160</v>
      </c>
      <c r="I7" s="3">
        <v>1</v>
      </c>
      <c r="J7" s="2">
        <f t="shared" si="0"/>
        <v>160</v>
      </c>
      <c r="K7" s="3">
        <v>150</v>
      </c>
      <c r="L7" s="2">
        <f t="shared" si="1"/>
        <v>10</v>
      </c>
      <c r="M7" s="2" t="s">
        <v>209</v>
      </c>
      <c r="N7" s="3">
        <v>100</v>
      </c>
      <c r="O7" s="3">
        <v>0.95</v>
      </c>
      <c r="P7" s="2" t="s">
        <v>210</v>
      </c>
      <c r="Q7" s="2" t="s">
        <v>221</v>
      </c>
    </row>
    <row r="8" spans="1:17" ht="28.8" customHeight="1">
      <c r="A8" s="2" t="s">
        <v>224</v>
      </c>
      <c r="B8" s="2" t="s">
        <v>219</v>
      </c>
      <c r="C8" s="2" t="s">
        <v>225</v>
      </c>
      <c r="D8" s="2" t="s">
        <v>208</v>
      </c>
      <c r="E8" s="2" t="s">
        <v>101</v>
      </c>
      <c r="F8" s="2" t="s">
        <v>5</v>
      </c>
      <c r="G8" s="3">
        <v>11</v>
      </c>
      <c r="H8" s="3">
        <v>220</v>
      </c>
      <c r="I8" s="3">
        <v>1</v>
      </c>
      <c r="J8" s="2">
        <f t="shared" si="0"/>
        <v>220</v>
      </c>
      <c r="K8" s="3">
        <v>225</v>
      </c>
      <c r="L8" s="2">
        <f t="shared" si="1"/>
        <v>-5</v>
      </c>
      <c r="M8" s="2" t="s">
        <v>209</v>
      </c>
      <c r="N8" s="3">
        <v>100</v>
      </c>
      <c r="O8" s="3">
        <v>0.95</v>
      </c>
      <c r="P8" s="2" t="s">
        <v>210</v>
      </c>
      <c r="Q8" s="2" t="s">
        <v>221</v>
      </c>
    </row>
    <row r="9" spans="1:17" ht="28.8" customHeight="1">
      <c r="A9" s="2" t="s">
        <v>226</v>
      </c>
      <c r="B9" s="2" t="s">
        <v>219</v>
      </c>
      <c r="C9" s="2" t="s">
        <v>227</v>
      </c>
      <c r="D9" s="2" t="s">
        <v>208</v>
      </c>
      <c r="E9" s="2" t="s">
        <v>102</v>
      </c>
      <c r="F9" s="2" t="s">
        <v>5</v>
      </c>
      <c r="G9" s="3">
        <v>17</v>
      </c>
      <c r="H9" s="3">
        <v>340</v>
      </c>
      <c r="I9" s="3">
        <v>1</v>
      </c>
      <c r="J9" s="2">
        <f t="shared" si="0"/>
        <v>340</v>
      </c>
      <c r="K9" s="3">
        <v>350</v>
      </c>
      <c r="L9" s="2">
        <f t="shared" si="1"/>
        <v>-10</v>
      </c>
      <c r="M9" s="2" t="s">
        <v>209</v>
      </c>
      <c r="N9" s="3">
        <v>100</v>
      </c>
      <c r="O9" s="3">
        <v>0.95</v>
      </c>
      <c r="P9" s="2" t="s">
        <v>210</v>
      </c>
      <c r="Q9" s="2" t="s">
        <v>221</v>
      </c>
    </row>
    <row r="10" spans="1:17" ht="28.8" customHeight="1">
      <c r="A10" s="2" t="s">
        <v>228</v>
      </c>
      <c r="B10" s="2" t="s">
        <v>229</v>
      </c>
      <c r="C10" s="2" t="s">
        <v>230</v>
      </c>
      <c r="D10" s="2" t="s">
        <v>208</v>
      </c>
      <c r="E10" s="2" t="s">
        <v>98</v>
      </c>
      <c r="F10" s="2" t="s">
        <v>125</v>
      </c>
      <c r="G10" s="3">
        <v>5</v>
      </c>
      <c r="H10" s="3">
        <v>100</v>
      </c>
      <c r="I10" s="3">
        <v>1</v>
      </c>
      <c r="J10" s="2">
        <f t="shared" si="0"/>
        <v>100</v>
      </c>
      <c r="K10" s="3">
        <v>100</v>
      </c>
      <c r="L10" s="2">
        <f t="shared" si="1"/>
        <v>0</v>
      </c>
      <c r="M10" s="2" t="s">
        <v>209</v>
      </c>
      <c r="N10" s="3">
        <v>85</v>
      </c>
      <c r="O10" s="3">
        <v>0.95</v>
      </c>
      <c r="P10" s="2" t="s">
        <v>210</v>
      </c>
      <c r="Q10" s="2" t="s">
        <v>231</v>
      </c>
    </row>
    <row r="11" spans="1:17" ht="28.8" customHeight="1">
      <c r="A11" s="2" t="s">
        <v>232</v>
      </c>
      <c r="B11" s="2" t="s">
        <v>229</v>
      </c>
      <c r="C11" s="2" t="s">
        <v>233</v>
      </c>
      <c r="D11" s="2" t="s">
        <v>208</v>
      </c>
      <c r="E11" s="2" t="s">
        <v>100</v>
      </c>
      <c r="F11" s="2" t="s">
        <v>125</v>
      </c>
      <c r="G11" s="3">
        <v>8</v>
      </c>
      <c r="H11" s="3">
        <v>160</v>
      </c>
      <c r="I11" s="3">
        <v>1</v>
      </c>
      <c r="J11" s="2">
        <f t="shared" si="0"/>
        <v>160</v>
      </c>
      <c r="K11" s="3">
        <v>150</v>
      </c>
      <c r="L11" s="2">
        <f t="shared" si="1"/>
        <v>10</v>
      </c>
      <c r="M11" s="2" t="s">
        <v>209</v>
      </c>
      <c r="N11" s="3">
        <v>85</v>
      </c>
      <c r="O11" s="3">
        <v>0.95</v>
      </c>
      <c r="P11" s="2" t="s">
        <v>210</v>
      </c>
      <c r="Q11" s="2" t="s">
        <v>231</v>
      </c>
    </row>
    <row r="12" spans="1:17" ht="28.8" customHeight="1">
      <c r="A12" s="2" t="s">
        <v>234</v>
      </c>
      <c r="B12" s="2" t="s">
        <v>229</v>
      </c>
      <c r="C12" s="2" t="s">
        <v>235</v>
      </c>
      <c r="D12" s="2" t="s">
        <v>208</v>
      </c>
      <c r="E12" s="2" t="s">
        <v>101</v>
      </c>
      <c r="F12" s="2" t="s">
        <v>125</v>
      </c>
      <c r="G12" s="3">
        <v>11</v>
      </c>
      <c r="H12" s="3">
        <v>220</v>
      </c>
      <c r="I12" s="3">
        <v>1</v>
      </c>
      <c r="J12" s="2">
        <f t="shared" si="0"/>
        <v>220</v>
      </c>
      <c r="K12" s="3">
        <v>225</v>
      </c>
      <c r="L12" s="2">
        <f t="shared" si="1"/>
        <v>-5</v>
      </c>
      <c r="M12" s="2" t="s">
        <v>209</v>
      </c>
      <c r="N12" s="3">
        <v>85</v>
      </c>
      <c r="O12" s="3">
        <v>0.95</v>
      </c>
      <c r="P12" s="2" t="s">
        <v>210</v>
      </c>
      <c r="Q12" s="2" t="s">
        <v>231</v>
      </c>
    </row>
    <row r="13" spans="1:17" ht="28.8" customHeight="1">
      <c r="A13" s="2" t="s">
        <v>236</v>
      </c>
      <c r="B13" s="2" t="s">
        <v>229</v>
      </c>
      <c r="C13" s="2" t="s">
        <v>237</v>
      </c>
      <c r="D13" s="2" t="s">
        <v>208</v>
      </c>
      <c r="E13" s="2" t="s">
        <v>102</v>
      </c>
      <c r="F13" s="2" t="s">
        <v>125</v>
      </c>
      <c r="G13" s="3">
        <v>17</v>
      </c>
      <c r="H13" s="3">
        <v>340</v>
      </c>
      <c r="I13" s="3">
        <v>1</v>
      </c>
      <c r="J13" s="2">
        <f t="shared" si="0"/>
        <v>340</v>
      </c>
      <c r="K13" s="3">
        <v>350</v>
      </c>
      <c r="L13" s="2">
        <f t="shared" si="1"/>
        <v>-10</v>
      </c>
      <c r="M13" s="2" t="s">
        <v>209</v>
      </c>
      <c r="N13" s="3">
        <v>85</v>
      </c>
      <c r="O13" s="3">
        <v>0.95</v>
      </c>
      <c r="P13" s="2" t="s">
        <v>210</v>
      </c>
      <c r="Q13" s="2" t="s">
        <v>231</v>
      </c>
    </row>
    <row r="14" spans="1:17" ht="28.8" customHeight="1">
      <c r="A14" s="2" t="s">
        <v>238</v>
      </c>
      <c r="B14" s="2" t="s">
        <v>239</v>
      </c>
      <c r="C14" s="2" t="s">
        <v>240</v>
      </c>
      <c r="D14" s="2" t="s">
        <v>208</v>
      </c>
      <c r="E14" s="2" t="s">
        <v>98</v>
      </c>
      <c r="F14" s="2" t="s">
        <v>128</v>
      </c>
      <c r="G14" s="3">
        <v>5</v>
      </c>
      <c r="H14" s="3">
        <v>100</v>
      </c>
      <c r="I14" s="3">
        <v>1</v>
      </c>
      <c r="J14" s="2">
        <f t="shared" si="0"/>
        <v>100</v>
      </c>
      <c r="K14" s="3">
        <v>100</v>
      </c>
      <c r="L14" s="2">
        <f t="shared" si="1"/>
        <v>0</v>
      </c>
      <c r="M14" s="2" t="s">
        <v>209</v>
      </c>
      <c r="N14" s="3">
        <v>85</v>
      </c>
      <c r="O14" s="3">
        <v>0.95</v>
      </c>
      <c r="P14" s="2" t="s">
        <v>210</v>
      </c>
      <c r="Q14" s="2" t="s">
        <v>231</v>
      </c>
    </row>
    <row r="15" spans="1:17" ht="28.8" customHeight="1">
      <c r="A15" s="2" t="s">
        <v>241</v>
      </c>
      <c r="B15" s="2" t="s">
        <v>239</v>
      </c>
      <c r="C15" s="2" t="s">
        <v>242</v>
      </c>
      <c r="D15" s="2" t="s">
        <v>208</v>
      </c>
      <c r="E15" s="2" t="s">
        <v>100</v>
      </c>
      <c r="F15" s="2" t="s">
        <v>128</v>
      </c>
      <c r="G15" s="3">
        <v>8</v>
      </c>
      <c r="H15" s="3">
        <v>160</v>
      </c>
      <c r="I15" s="3">
        <v>1</v>
      </c>
      <c r="J15" s="2">
        <f t="shared" si="0"/>
        <v>160</v>
      </c>
      <c r="K15" s="3">
        <v>150</v>
      </c>
      <c r="L15" s="2">
        <f t="shared" si="1"/>
        <v>10</v>
      </c>
      <c r="M15" s="2" t="s">
        <v>209</v>
      </c>
      <c r="N15" s="3">
        <v>85</v>
      </c>
      <c r="O15" s="3">
        <v>0.95</v>
      </c>
      <c r="P15" s="2" t="s">
        <v>210</v>
      </c>
      <c r="Q15" s="2" t="s">
        <v>231</v>
      </c>
    </row>
    <row r="16" spans="1:17" ht="28.8" customHeight="1">
      <c r="A16" s="2" t="s">
        <v>243</v>
      </c>
      <c r="B16" s="2" t="s">
        <v>239</v>
      </c>
      <c r="C16" s="2" t="s">
        <v>244</v>
      </c>
      <c r="D16" s="2" t="s">
        <v>208</v>
      </c>
      <c r="E16" s="2" t="s">
        <v>101</v>
      </c>
      <c r="F16" s="2" t="s">
        <v>128</v>
      </c>
      <c r="G16" s="3">
        <v>11</v>
      </c>
      <c r="H16" s="3">
        <v>220</v>
      </c>
      <c r="I16" s="3">
        <v>1</v>
      </c>
      <c r="J16" s="2">
        <f t="shared" si="0"/>
        <v>220</v>
      </c>
      <c r="K16" s="3">
        <v>225</v>
      </c>
      <c r="L16" s="2">
        <f t="shared" si="1"/>
        <v>-5</v>
      </c>
      <c r="M16" s="2" t="s">
        <v>209</v>
      </c>
      <c r="N16" s="3">
        <v>85</v>
      </c>
      <c r="O16" s="3">
        <v>0.95</v>
      </c>
      <c r="P16" s="2" t="s">
        <v>210</v>
      </c>
      <c r="Q16" s="2" t="s">
        <v>231</v>
      </c>
    </row>
    <row r="17" spans="1:17" ht="28.8" customHeight="1">
      <c r="A17" s="2" t="s">
        <v>245</v>
      </c>
      <c r="B17" s="2" t="s">
        <v>239</v>
      </c>
      <c r="C17" s="2" t="s">
        <v>246</v>
      </c>
      <c r="D17" s="2" t="s">
        <v>208</v>
      </c>
      <c r="E17" s="2" t="s">
        <v>102</v>
      </c>
      <c r="F17" s="2" t="s">
        <v>128</v>
      </c>
      <c r="G17" s="3">
        <v>17</v>
      </c>
      <c r="H17" s="3">
        <v>340</v>
      </c>
      <c r="I17" s="3">
        <v>1</v>
      </c>
      <c r="J17" s="2">
        <f t="shared" si="0"/>
        <v>340</v>
      </c>
      <c r="K17" s="3">
        <v>350</v>
      </c>
      <c r="L17" s="2">
        <f t="shared" si="1"/>
        <v>-10</v>
      </c>
      <c r="M17" s="2" t="s">
        <v>209</v>
      </c>
      <c r="N17" s="3">
        <v>85</v>
      </c>
      <c r="O17" s="3">
        <v>0.95</v>
      </c>
      <c r="P17" s="2" t="s">
        <v>210</v>
      </c>
      <c r="Q17" s="2" t="s">
        <v>231</v>
      </c>
    </row>
    <row r="18" spans="1:17" ht="28.8" customHeight="1">
      <c r="A18" s="2" t="s">
        <v>247</v>
      </c>
      <c r="B18" s="2" t="s">
        <v>248</v>
      </c>
      <c r="C18" s="2" t="s">
        <v>249</v>
      </c>
      <c r="D18" s="2" t="s">
        <v>208</v>
      </c>
      <c r="E18" s="2" t="s">
        <v>98</v>
      </c>
      <c r="F18" s="2" t="s">
        <v>129</v>
      </c>
      <c r="G18" s="3">
        <v>5</v>
      </c>
      <c r="H18" s="3">
        <v>100</v>
      </c>
      <c r="I18" s="3">
        <v>1</v>
      </c>
      <c r="J18" s="2">
        <f t="shared" si="0"/>
        <v>100</v>
      </c>
      <c r="K18" s="3">
        <v>100</v>
      </c>
      <c r="L18" s="2">
        <f t="shared" si="1"/>
        <v>0</v>
      </c>
      <c r="M18" s="2" t="s">
        <v>209</v>
      </c>
      <c r="N18" s="3">
        <v>85</v>
      </c>
      <c r="O18" s="3">
        <v>0.95</v>
      </c>
      <c r="P18" s="2" t="s">
        <v>210</v>
      </c>
      <c r="Q18" s="2" t="s">
        <v>231</v>
      </c>
    </row>
    <row r="19" spans="1:17" ht="28.8" customHeight="1">
      <c r="A19" s="2" t="s">
        <v>250</v>
      </c>
      <c r="B19" s="2" t="s">
        <v>248</v>
      </c>
      <c r="C19" s="2" t="s">
        <v>251</v>
      </c>
      <c r="D19" s="2" t="s">
        <v>208</v>
      </c>
      <c r="E19" s="2" t="s">
        <v>100</v>
      </c>
      <c r="F19" s="2" t="s">
        <v>129</v>
      </c>
      <c r="G19" s="3">
        <v>8</v>
      </c>
      <c r="H19" s="3">
        <v>160</v>
      </c>
      <c r="I19" s="3">
        <v>1</v>
      </c>
      <c r="J19" s="2">
        <f t="shared" si="0"/>
        <v>160</v>
      </c>
      <c r="K19" s="3">
        <v>150</v>
      </c>
      <c r="L19" s="2">
        <f t="shared" si="1"/>
        <v>10</v>
      </c>
      <c r="M19" s="2" t="s">
        <v>209</v>
      </c>
      <c r="N19" s="3">
        <v>85</v>
      </c>
      <c r="O19" s="3">
        <v>0.95</v>
      </c>
      <c r="P19" s="2" t="s">
        <v>210</v>
      </c>
      <c r="Q19" s="2" t="s">
        <v>231</v>
      </c>
    </row>
    <row r="20" spans="1:17" ht="28.8" customHeight="1">
      <c r="A20" s="2" t="s">
        <v>252</v>
      </c>
      <c r="B20" s="2" t="s">
        <v>248</v>
      </c>
      <c r="C20" s="2" t="s">
        <v>253</v>
      </c>
      <c r="D20" s="2" t="s">
        <v>208</v>
      </c>
      <c r="E20" s="2" t="s">
        <v>101</v>
      </c>
      <c r="F20" s="2" t="s">
        <v>129</v>
      </c>
      <c r="G20" s="3">
        <v>11</v>
      </c>
      <c r="H20" s="3">
        <v>220</v>
      </c>
      <c r="I20" s="3">
        <v>1</v>
      </c>
      <c r="J20" s="2">
        <f t="shared" si="0"/>
        <v>220</v>
      </c>
      <c r="K20" s="3">
        <v>225</v>
      </c>
      <c r="L20" s="2">
        <f t="shared" si="1"/>
        <v>-5</v>
      </c>
      <c r="M20" s="2" t="s">
        <v>209</v>
      </c>
      <c r="N20" s="3">
        <v>85</v>
      </c>
      <c r="O20" s="3">
        <v>0.95</v>
      </c>
      <c r="P20" s="2" t="s">
        <v>210</v>
      </c>
      <c r="Q20" s="2" t="s">
        <v>231</v>
      </c>
    </row>
    <row r="21" spans="1:17" ht="28.8" customHeight="1">
      <c r="A21" s="2" t="s">
        <v>254</v>
      </c>
      <c r="B21" s="2" t="s">
        <v>248</v>
      </c>
      <c r="C21" s="2" t="s">
        <v>255</v>
      </c>
      <c r="D21" s="2" t="s">
        <v>208</v>
      </c>
      <c r="E21" s="2" t="s">
        <v>102</v>
      </c>
      <c r="F21" s="2" t="s">
        <v>129</v>
      </c>
      <c r="G21" s="3">
        <v>17</v>
      </c>
      <c r="H21" s="3">
        <v>340</v>
      </c>
      <c r="I21" s="3">
        <v>1</v>
      </c>
      <c r="J21" s="2">
        <f t="shared" si="0"/>
        <v>340</v>
      </c>
      <c r="K21" s="3">
        <v>350</v>
      </c>
      <c r="L21" s="2">
        <f t="shared" si="1"/>
        <v>-10</v>
      </c>
      <c r="M21" s="2" t="s">
        <v>209</v>
      </c>
      <c r="N21" s="3">
        <v>85</v>
      </c>
      <c r="O21" s="3">
        <v>0.95</v>
      </c>
      <c r="P21" s="2" t="s">
        <v>210</v>
      </c>
      <c r="Q21" s="2" t="s">
        <v>231</v>
      </c>
    </row>
    <row r="22" spans="1:17" ht="28.8" customHeight="1">
      <c r="A22" s="2" t="s">
        <v>256</v>
      </c>
      <c r="B22" s="2" t="s">
        <v>257</v>
      </c>
      <c r="C22" s="2" t="s">
        <v>258</v>
      </c>
      <c r="D22" s="2" t="s">
        <v>208</v>
      </c>
      <c r="E22" s="2" t="s">
        <v>98</v>
      </c>
      <c r="F22" s="2" t="s">
        <v>130</v>
      </c>
      <c r="G22" s="3">
        <v>5</v>
      </c>
      <c r="H22" s="3">
        <v>100</v>
      </c>
      <c r="I22" s="3">
        <v>1</v>
      </c>
      <c r="J22" s="2">
        <f t="shared" si="0"/>
        <v>100</v>
      </c>
      <c r="K22" s="3">
        <v>100</v>
      </c>
      <c r="L22" s="2">
        <f t="shared" si="1"/>
        <v>0</v>
      </c>
      <c r="M22" s="2" t="s">
        <v>209</v>
      </c>
      <c r="N22" s="3">
        <v>85</v>
      </c>
      <c r="O22" s="3">
        <v>0.95</v>
      </c>
      <c r="P22" s="2" t="s">
        <v>210</v>
      </c>
      <c r="Q22" s="2" t="s">
        <v>231</v>
      </c>
    </row>
    <row r="23" spans="1:17" ht="28.8" customHeight="1">
      <c r="A23" s="2" t="s">
        <v>259</v>
      </c>
      <c r="B23" s="2" t="s">
        <v>257</v>
      </c>
      <c r="C23" s="2" t="s">
        <v>260</v>
      </c>
      <c r="D23" s="2" t="s">
        <v>208</v>
      </c>
      <c r="E23" s="2" t="s">
        <v>100</v>
      </c>
      <c r="F23" s="2" t="s">
        <v>130</v>
      </c>
      <c r="G23" s="3">
        <v>8</v>
      </c>
      <c r="H23" s="3">
        <v>160</v>
      </c>
      <c r="I23" s="3">
        <v>1</v>
      </c>
      <c r="J23" s="2">
        <f t="shared" si="0"/>
        <v>160</v>
      </c>
      <c r="K23" s="3">
        <v>150</v>
      </c>
      <c r="L23" s="2">
        <f t="shared" si="1"/>
        <v>10</v>
      </c>
      <c r="M23" s="2" t="s">
        <v>209</v>
      </c>
      <c r="N23" s="3">
        <v>85</v>
      </c>
      <c r="O23" s="3">
        <v>0.95</v>
      </c>
      <c r="P23" s="2" t="s">
        <v>210</v>
      </c>
      <c r="Q23" s="2" t="s">
        <v>231</v>
      </c>
    </row>
    <row r="24" spans="1:17" ht="28.8" customHeight="1">
      <c r="A24" s="2" t="s">
        <v>261</v>
      </c>
      <c r="B24" s="2" t="s">
        <v>257</v>
      </c>
      <c r="C24" s="2" t="s">
        <v>262</v>
      </c>
      <c r="D24" s="2" t="s">
        <v>208</v>
      </c>
      <c r="E24" s="2" t="s">
        <v>101</v>
      </c>
      <c r="F24" s="2" t="s">
        <v>130</v>
      </c>
      <c r="G24" s="3">
        <v>11</v>
      </c>
      <c r="H24" s="3">
        <v>220</v>
      </c>
      <c r="I24" s="3">
        <v>1</v>
      </c>
      <c r="J24" s="2">
        <f t="shared" si="0"/>
        <v>220</v>
      </c>
      <c r="K24" s="3">
        <v>225</v>
      </c>
      <c r="L24" s="2">
        <f t="shared" si="1"/>
        <v>-5</v>
      </c>
      <c r="M24" s="2" t="s">
        <v>209</v>
      </c>
      <c r="N24" s="3">
        <v>85</v>
      </c>
      <c r="O24" s="3">
        <v>0.95</v>
      </c>
      <c r="P24" s="2" t="s">
        <v>210</v>
      </c>
      <c r="Q24" s="2" t="s">
        <v>231</v>
      </c>
    </row>
    <row r="25" spans="1:17" ht="28.8" customHeight="1">
      <c r="A25" s="2" t="s">
        <v>263</v>
      </c>
      <c r="B25" s="2" t="s">
        <v>257</v>
      </c>
      <c r="C25" s="2" t="s">
        <v>264</v>
      </c>
      <c r="D25" s="2" t="s">
        <v>208</v>
      </c>
      <c r="E25" s="2" t="s">
        <v>102</v>
      </c>
      <c r="F25" s="2" t="s">
        <v>130</v>
      </c>
      <c r="G25" s="3">
        <v>17</v>
      </c>
      <c r="H25" s="3">
        <v>340</v>
      </c>
      <c r="I25" s="3">
        <v>1</v>
      </c>
      <c r="J25" s="2">
        <f t="shared" si="0"/>
        <v>340</v>
      </c>
      <c r="K25" s="3">
        <v>350</v>
      </c>
      <c r="L25" s="2">
        <f t="shared" si="1"/>
        <v>-10</v>
      </c>
      <c r="M25" s="2" t="s">
        <v>209</v>
      </c>
      <c r="N25" s="3">
        <v>85</v>
      </c>
      <c r="O25" s="3">
        <v>0.95</v>
      </c>
      <c r="P25" s="2" t="s">
        <v>210</v>
      </c>
      <c r="Q25" s="2" t="s">
        <v>231</v>
      </c>
    </row>
    <row r="26" spans="1:17" ht="28.8" customHeight="1">
      <c r="A26" s="2" t="s">
        <v>265</v>
      </c>
      <c r="B26" s="2" t="s">
        <v>266</v>
      </c>
      <c r="C26" s="2" t="s">
        <v>267</v>
      </c>
      <c r="D26" s="2" t="s">
        <v>208</v>
      </c>
      <c r="E26" s="2" t="s">
        <v>98</v>
      </c>
      <c r="F26" s="2" t="s">
        <v>134</v>
      </c>
      <c r="G26" s="3">
        <v>2</v>
      </c>
      <c r="H26" s="3">
        <v>100</v>
      </c>
      <c r="I26" s="3">
        <v>1</v>
      </c>
      <c r="J26" s="2">
        <f t="shared" si="0"/>
        <v>100</v>
      </c>
      <c r="K26" s="3">
        <v>100</v>
      </c>
      <c r="L26" s="2">
        <f t="shared" si="1"/>
        <v>0</v>
      </c>
      <c r="M26" s="2" t="s">
        <v>268</v>
      </c>
      <c r="N26" s="3">
        <v>45</v>
      </c>
      <c r="O26" s="3">
        <v>0.85</v>
      </c>
      <c r="P26" s="2" t="s">
        <v>210</v>
      </c>
      <c r="Q26" s="2" t="s">
        <v>269</v>
      </c>
    </row>
    <row r="27" spans="1:17" ht="28.8" customHeight="1">
      <c r="A27" s="2" t="s">
        <v>270</v>
      </c>
      <c r="B27" s="2" t="s">
        <v>266</v>
      </c>
      <c r="C27" s="2" t="s">
        <v>271</v>
      </c>
      <c r="D27" s="2" t="s">
        <v>208</v>
      </c>
      <c r="E27" s="2" t="s">
        <v>100</v>
      </c>
      <c r="F27" s="2" t="s">
        <v>134</v>
      </c>
      <c r="G27" s="3">
        <v>3</v>
      </c>
      <c r="H27" s="3">
        <v>150</v>
      </c>
      <c r="I27" s="3">
        <v>1</v>
      </c>
      <c r="J27" s="2">
        <f t="shared" si="0"/>
        <v>150</v>
      </c>
      <c r="K27" s="3">
        <v>150</v>
      </c>
      <c r="L27" s="2">
        <f t="shared" si="1"/>
        <v>0</v>
      </c>
      <c r="M27" s="2" t="s">
        <v>268</v>
      </c>
      <c r="N27" s="3">
        <v>45</v>
      </c>
      <c r="O27" s="3">
        <v>0.85</v>
      </c>
      <c r="P27" s="2" t="s">
        <v>210</v>
      </c>
      <c r="Q27" s="2" t="s">
        <v>269</v>
      </c>
    </row>
    <row r="28" spans="1:17" ht="28.8" customHeight="1">
      <c r="A28" s="2" t="s">
        <v>272</v>
      </c>
      <c r="B28" s="2" t="s">
        <v>266</v>
      </c>
      <c r="C28" s="2" t="s">
        <v>273</v>
      </c>
      <c r="D28" s="2" t="s">
        <v>208</v>
      </c>
      <c r="E28" s="2" t="s">
        <v>101</v>
      </c>
      <c r="F28" s="2" t="s">
        <v>134</v>
      </c>
      <c r="G28" s="3">
        <v>4.5</v>
      </c>
      <c r="H28" s="3">
        <v>225</v>
      </c>
      <c r="I28" s="3">
        <v>1</v>
      </c>
      <c r="J28" s="2">
        <f t="shared" si="0"/>
        <v>225</v>
      </c>
      <c r="K28" s="3">
        <v>225</v>
      </c>
      <c r="L28" s="2">
        <f t="shared" si="1"/>
        <v>0</v>
      </c>
      <c r="M28" s="2" t="s">
        <v>268</v>
      </c>
      <c r="N28" s="3">
        <v>45</v>
      </c>
      <c r="O28" s="3">
        <v>0.85</v>
      </c>
      <c r="P28" s="2" t="s">
        <v>210</v>
      </c>
      <c r="Q28" s="2" t="s">
        <v>269</v>
      </c>
    </row>
    <row r="29" spans="1:17" ht="28.8" customHeight="1">
      <c r="A29" s="2" t="s">
        <v>274</v>
      </c>
      <c r="B29" s="2" t="s">
        <v>266</v>
      </c>
      <c r="C29" s="2" t="s">
        <v>275</v>
      </c>
      <c r="D29" s="2" t="s">
        <v>208</v>
      </c>
      <c r="E29" s="2" t="s">
        <v>102</v>
      </c>
      <c r="F29" s="2" t="s">
        <v>134</v>
      </c>
      <c r="G29" s="3">
        <v>7</v>
      </c>
      <c r="H29" s="3">
        <v>350</v>
      </c>
      <c r="I29" s="3">
        <v>1</v>
      </c>
      <c r="J29" s="2">
        <f t="shared" si="0"/>
        <v>350</v>
      </c>
      <c r="K29" s="3">
        <v>350</v>
      </c>
      <c r="L29" s="2">
        <f t="shared" si="1"/>
        <v>0</v>
      </c>
      <c r="M29" s="2" t="s">
        <v>268</v>
      </c>
      <c r="N29" s="3">
        <v>45</v>
      </c>
      <c r="O29" s="3">
        <v>0.85</v>
      </c>
      <c r="P29" s="2" t="s">
        <v>210</v>
      </c>
      <c r="Q29" s="2" t="s">
        <v>269</v>
      </c>
    </row>
    <row r="30" spans="1:17" ht="28.8" customHeight="1">
      <c r="A30" s="2" t="s">
        <v>276</v>
      </c>
      <c r="B30" s="2" t="s">
        <v>277</v>
      </c>
      <c r="C30" s="2" t="s">
        <v>278</v>
      </c>
      <c r="D30" s="2" t="s">
        <v>208</v>
      </c>
      <c r="E30" s="2" t="s">
        <v>98</v>
      </c>
      <c r="F30" s="2" t="s">
        <v>137</v>
      </c>
      <c r="G30" s="3">
        <v>8</v>
      </c>
      <c r="H30" s="3">
        <v>96</v>
      </c>
      <c r="I30" s="3">
        <v>1</v>
      </c>
      <c r="J30" s="2">
        <f t="shared" si="0"/>
        <v>96</v>
      </c>
      <c r="K30" s="3">
        <v>100</v>
      </c>
      <c r="L30" s="2">
        <f t="shared" si="1"/>
        <v>-4</v>
      </c>
      <c r="M30" s="2" t="s">
        <v>279</v>
      </c>
      <c r="N30" s="3">
        <v>40</v>
      </c>
      <c r="O30" s="3">
        <v>0.85</v>
      </c>
      <c r="P30" s="2" t="s">
        <v>210</v>
      </c>
      <c r="Q30" s="2" t="s">
        <v>280</v>
      </c>
    </row>
    <row r="31" spans="1:17" ht="28.8" customHeight="1">
      <c r="A31" s="2" t="s">
        <v>281</v>
      </c>
      <c r="B31" s="2" t="s">
        <v>277</v>
      </c>
      <c r="C31" s="2" t="s">
        <v>282</v>
      </c>
      <c r="D31" s="2" t="s">
        <v>208</v>
      </c>
      <c r="E31" s="2" t="s">
        <v>100</v>
      </c>
      <c r="F31" s="2" t="s">
        <v>137</v>
      </c>
      <c r="G31" s="3">
        <v>13</v>
      </c>
      <c r="H31" s="3">
        <v>156</v>
      </c>
      <c r="I31" s="3">
        <v>1</v>
      </c>
      <c r="J31" s="2">
        <f t="shared" si="0"/>
        <v>156</v>
      </c>
      <c r="K31" s="3">
        <v>150</v>
      </c>
      <c r="L31" s="2">
        <f t="shared" si="1"/>
        <v>6</v>
      </c>
      <c r="M31" s="2" t="s">
        <v>279</v>
      </c>
      <c r="N31" s="3">
        <v>40</v>
      </c>
      <c r="O31" s="3">
        <v>0.85</v>
      </c>
      <c r="P31" s="2" t="s">
        <v>210</v>
      </c>
      <c r="Q31" s="2" t="s">
        <v>280</v>
      </c>
    </row>
    <row r="32" spans="1:17" ht="28.8" customHeight="1">
      <c r="A32" s="2" t="s">
        <v>283</v>
      </c>
      <c r="B32" s="2" t="s">
        <v>277</v>
      </c>
      <c r="C32" s="2" t="s">
        <v>284</v>
      </c>
      <c r="D32" s="2" t="s">
        <v>208</v>
      </c>
      <c r="E32" s="2" t="s">
        <v>101</v>
      </c>
      <c r="F32" s="2" t="s">
        <v>137</v>
      </c>
      <c r="G32" s="3">
        <v>19</v>
      </c>
      <c r="H32" s="3">
        <v>228</v>
      </c>
      <c r="I32" s="3">
        <v>1</v>
      </c>
      <c r="J32" s="2">
        <f t="shared" si="0"/>
        <v>228</v>
      </c>
      <c r="K32" s="3">
        <v>225</v>
      </c>
      <c r="L32" s="2">
        <f t="shared" si="1"/>
        <v>3</v>
      </c>
      <c r="M32" s="2" t="s">
        <v>279</v>
      </c>
      <c r="N32" s="3">
        <v>40</v>
      </c>
      <c r="O32" s="3">
        <v>0.85</v>
      </c>
      <c r="P32" s="2" t="s">
        <v>210</v>
      </c>
      <c r="Q32" s="2" t="s">
        <v>280</v>
      </c>
    </row>
    <row r="33" spans="1:17" ht="28.8" customHeight="1">
      <c r="A33" s="2" t="s">
        <v>285</v>
      </c>
      <c r="B33" s="2" t="s">
        <v>277</v>
      </c>
      <c r="C33" s="2" t="s">
        <v>286</v>
      </c>
      <c r="D33" s="2" t="s">
        <v>208</v>
      </c>
      <c r="E33" s="2" t="s">
        <v>102</v>
      </c>
      <c r="F33" s="2" t="s">
        <v>137</v>
      </c>
      <c r="G33" s="3">
        <v>29</v>
      </c>
      <c r="H33" s="3">
        <v>348</v>
      </c>
      <c r="I33" s="3">
        <v>1</v>
      </c>
      <c r="J33" s="2">
        <f t="shared" si="0"/>
        <v>348</v>
      </c>
      <c r="K33" s="3">
        <v>350</v>
      </c>
      <c r="L33" s="2">
        <f t="shared" si="1"/>
        <v>-2</v>
      </c>
      <c r="M33" s="2" t="s">
        <v>279</v>
      </c>
      <c r="N33" s="3">
        <v>40</v>
      </c>
      <c r="O33" s="3">
        <v>0.85</v>
      </c>
      <c r="P33" s="2" t="s">
        <v>210</v>
      </c>
      <c r="Q33" s="2" t="s">
        <v>280</v>
      </c>
    </row>
    <row r="34" spans="1:17" ht="28.8" customHeight="1">
      <c r="A34" s="2" t="s">
        <v>287</v>
      </c>
      <c r="B34" s="2" t="s">
        <v>288</v>
      </c>
      <c r="C34" s="2" t="s">
        <v>289</v>
      </c>
      <c r="D34" s="2" t="s">
        <v>290</v>
      </c>
      <c r="E34" s="2" t="s">
        <v>98</v>
      </c>
      <c r="F34" s="2" t="s">
        <v>3</v>
      </c>
      <c r="G34" s="3">
        <v>20</v>
      </c>
      <c r="H34" s="3">
        <v>100</v>
      </c>
      <c r="I34" s="3">
        <v>1</v>
      </c>
      <c r="J34" s="2">
        <f t="shared" ref="J34:J65" si="2">H34*I34</f>
        <v>100</v>
      </c>
      <c r="K34" s="3">
        <v>100</v>
      </c>
      <c r="L34" s="2">
        <f t="shared" ref="L34:L65" si="3">J34-K34</f>
        <v>0</v>
      </c>
      <c r="M34" s="2" t="s">
        <v>209</v>
      </c>
      <c r="N34" s="3">
        <v>100</v>
      </c>
      <c r="O34" s="3">
        <v>0.95</v>
      </c>
      <c r="P34" s="2" t="s">
        <v>210</v>
      </c>
      <c r="Q34" s="2" t="s">
        <v>291</v>
      </c>
    </row>
    <row r="35" spans="1:17" ht="28.8" customHeight="1">
      <c r="A35" s="2" t="s">
        <v>292</v>
      </c>
      <c r="B35" s="2" t="s">
        <v>288</v>
      </c>
      <c r="C35" s="2" t="s">
        <v>293</v>
      </c>
      <c r="D35" s="2" t="s">
        <v>290</v>
      </c>
      <c r="E35" s="2" t="s">
        <v>100</v>
      </c>
      <c r="F35" s="2" t="s">
        <v>3</v>
      </c>
      <c r="G35" s="3">
        <v>30</v>
      </c>
      <c r="H35" s="3">
        <v>150</v>
      </c>
      <c r="I35" s="3">
        <v>1</v>
      </c>
      <c r="J35" s="2">
        <f t="shared" si="2"/>
        <v>150</v>
      </c>
      <c r="K35" s="3">
        <v>150</v>
      </c>
      <c r="L35" s="2">
        <f t="shared" si="3"/>
        <v>0</v>
      </c>
      <c r="M35" s="2" t="s">
        <v>209</v>
      </c>
      <c r="N35" s="3">
        <v>100</v>
      </c>
      <c r="O35" s="3">
        <v>0.95</v>
      </c>
      <c r="P35" s="2" t="s">
        <v>210</v>
      </c>
      <c r="Q35" s="2" t="s">
        <v>291</v>
      </c>
    </row>
    <row r="36" spans="1:17" ht="28.8" customHeight="1">
      <c r="A36" s="2" t="s">
        <v>294</v>
      </c>
      <c r="B36" s="2" t="s">
        <v>288</v>
      </c>
      <c r="C36" s="2" t="s">
        <v>295</v>
      </c>
      <c r="D36" s="2" t="s">
        <v>290</v>
      </c>
      <c r="E36" s="2" t="s">
        <v>101</v>
      </c>
      <c r="F36" s="2" t="s">
        <v>3</v>
      </c>
      <c r="G36" s="3">
        <v>45</v>
      </c>
      <c r="H36" s="3">
        <v>225</v>
      </c>
      <c r="I36" s="3">
        <v>1</v>
      </c>
      <c r="J36" s="2">
        <f t="shared" si="2"/>
        <v>225</v>
      </c>
      <c r="K36" s="3">
        <v>225</v>
      </c>
      <c r="L36" s="2">
        <f t="shared" si="3"/>
        <v>0</v>
      </c>
      <c r="M36" s="2" t="s">
        <v>209</v>
      </c>
      <c r="N36" s="3">
        <v>100</v>
      </c>
      <c r="O36" s="3">
        <v>0.95</v>
      </c>
      <c r="P36" s="2" t="s">
        <v>210</v>
      </c>
      <c r="Q36" s="2" t="s">
        <v>291</v>
      </c>
    </row>
    <row r="37" spans="1:17" ht="28.8" customHeight="1">
      <c r="A37" s="2" t="s">
        <v>296</v>
      </c>
      <c r="B37" s="2" t="s">
        <v>288</v>
      </c>
      <c r="C37" s="2" t="s">
        <v>297</v>
      </c>
      <c r="D37" s="2" t="s">
        <v>290</v>
      </c>
      <c r="E37" s="2" t="s">
        <v>102</v>
      </c>
      <c r="F37" s="2" t="s">
        <v>3</v>
      </c>
      <c r="G37" s="3">
        <v>70</v>
      </c>
      <c r="H37" s="3">
        <v>350</v>
      </c>
      <c r="I37" s="3">
        <v>1</v>
      </c>
      <c r="J37" s="2">
        <f t="shared" si="2"/>
        <v>350</v>
      </c>
      <c r="K37" s="3">
        <v>350</v>
      </c>
      <c r="L37" s="2">
        <f t="shared" si="3"/>
        <v>0</v>
      </c>
      <c r="M37" s="2" t="s">
        <v>209</v>
      </c>
      <c r="N37" s="3">
        <v>100</v>
      </c>
      <c r="O37" s="3">
        <v>0.95</v>
      </c>
      <c r="P37" s="2" t="s">
        <v>210</v>
      </c>
      <c r="Q37" s="2" t="s">
        <v>291</v>
      </c>
    </row>
    <row r="38" spans="1:17" ht="28.8" customHeight="1">
      <c r="A38" s="2" t="s">
        <v>298</v>
      </c>
      <c r="B38" s="2" t="s">
        <v>299</v>
      </c>
      <c r="C38" s="2" t="s">
        <v>300</v>
      </c>
      <c r="D38" s="2" t="s">
        <v>290</v>
      </c>
      <c r="E38" s="2" t="s">
        <v>98</v>
      </c>
      <c r="F38" s="2" t="s">
        <v>148</v>
      </c>
      <c r="G38" s="3">
        <v>10</v>
      </c>
      <c r="H38" s="3">
        <v>100</v>
      </c>
      <c r="I38" s="3">
        <v>1</v>
      </c>
      <c r="J38" s="2">
        <f t="shared" si="2"/>
        <v>100</v>
      </c>
      <c r="K38" s="3">
        <v>100</v>
      </c>
      <c r="L38" s="2">
        <f t="shared" si="3"/>
        <v>0</v>
      </c>
      <c r="M38" s="2" t="s">
        <v>209</v>
      </c>
      <c r="N38" s="3">
        <v>75</v>
      </c>
      <c r="O38" s="3">
        <v>0.9</v>
      </c>
      <c r="P38" s="2" t="s">
        <v>210</v>
      </c>
      <c r="Q38" s="2" t="s">
        <v>301</v>
      </c>
    </row>
    <row r="39" spans="1:17" ht="28.8" customHeight="1">
      <c r="A39" s="2" t="s">
        <v>302</v>
      </c>
      <c r="B39" s="2" t="s">
        <v>299</v>
      </c>
      <c r="C39" s="2" t="s">
        <v>303</v>
      </c>
      <c r="D39" s="2" t="s">
        <v>290</v>
      </c>
      <c r="E39" s="2" t="s">
        <v>100</v>
      </c>
      <c r="F39" s="2" t="s">
        <v>148</v>
      </c>
      <c r="G39" s="3">
        <v>15</v>
      </c>
      <c r="H39" s="3">
        <v>150</v>
      </c>
      <c r="I39" s="3">
        <v>1</v>
      </c>
      <c r="J39" s="2">
        <f t="shared" si="2"/>
        <v>150</v>
      </c>
      <c r="K39" s="3">
        <v>150</v>
      </c>
      <c r="L39" s="2">
        <f t="shared" si="3"/>
        <v>0</v>
      </c>
      <c r="M39" s="2" t="s">
        <v>209</v>
      </c>
      <c r="N39" s="3">
        <v>75</v>
      </c>
      <c r="O39" s="3">
        <v>0.9</v>
      </c>
      <c r="P39" s="2" t="s">
        <v>210</v>
      </c>
      <c r="Q39" s="2" t="s">
        <v>301</v>
      </c>
    </row>
    <row r="40" spans="1:17" ht="28.8" customHeight="1">
      <c r="A40" s="2" t="s">
        <v>304</v>
      </c>
      <c r="B40" s="2" t="s">
        <v>299</v>
      </c>
      <c r="C40" s="2" t="s">
        <v>305</v>
      </c>
      <c r="D40" s="2" t="s">
        <v>290</v>
      </c>
      <c r="E40" s="2" t="s">
        <v>101</v>
      </c>
      <c r="F40" s="2" t="s">
        <v>148</v>
      </c>
      <c r="G40" s="3">
        <v>22</v>
      </c>
      <c r="H40" s="3">
        <v>220</v>
      </c>
      <c r="I40" s="3">
        <v>1</v>
      </c>
      <c r="J40" s="2">
        <f t="shared" si="2"/>
        <v>220</v>
      </c>
      <c r="K40" s="3">
        <v>225</v>
      </c>
      <c r="L40" s="2">
        <f t="shared" si="3"/>
        <v>-5</v>
      </c>
      <c r="M40" s="2" t="s">
        <v>209</v>
      </c>
      <c r="N40" s="3">
        <v>75</v>
      </c>
      <c r="O40" s="3">
        <v>0.9</v>
      </c>
      <c r="P40" s="2" t="s">
        <v>210</v>
      </c>
      <c r="Q40" s="2" t="s">
        <v>301</v>
      </c>
    </row>
    <row r="41" spans="1:17" ht="28.8" customHeight="1">
      <c r="A41" s="2" t="s">
        <v>306</v>
      </c>
      <c r="B41" s="2" t="s">
        <v>299</v>
      </c>
      <c r="C41" s="2" t="s">
        <v>307</v>
      </c>
      <c r="D41" s="2" t="s">
        <v>290</v>
      </c>
      <c r="E41" s="2" t="s">
        <v>102</v>
      </c>
      <c r="F41" s="2" t="s">
        <v>148</v>
      </c>
      <c r="G41" s="3">
        <v>35</v>
      </c>
      <c r="H41" s="3">
        <v>350</v>
      </c>
      <c r="I41" s="3">
        <v>1</v>
      </c>
      <c r="J41" s="2">
        <f t="shared" si="2"/>
        <v>350</v>
      </c>
      <c r="K41" s="3">
        <v>350</v>
      </c>
      <c r="L41" s="2">
        <f t="shared" si="3"/>
        <v>0</v>
      </c>
      <c r="M41" s="2" t="s">
        <v>209</v>
      </c>
      <c r="N41" s="3">
        <v>75</v>
      </c>
      <c r="O41" s="3">
        <v>0.9</v>
      </c>
      <c r="P41" s="2" t="s">
        <v>210</v>
      </c>
      <c r="Q41" s="2" t="s">
        <v>301</v>
      </c>
    </row>
    <row r="42" spans="1:17" ht="28.8" customHeight="1">
      <c r="A42" s="2" t="s">
        <v>308</v>
      </c>
      <c r="B42" s="2" t="s">
        <v>309</v>
      </c>
      <c r="C42" s="2" t="s">
        <v>310</v>
      </c>
      <c r="D42" s="2" t="s">
        <v>290</v>
      </c>
      <c r="E42" s="2" t="s">
        <v>100</v>
      </c>
      <c r="F42" s="2" t="s">
        <v>9</v>
      </c>
      <c r="G42" s="3">
        <v>2</v>
      </c>
      <c r="H42" s="3">
        <v>160</v>
      </c>
      <c r="I42" s="3">
        <v>1</v>
      </c>
      <c r="J42" s="2">
        <f t="shared" si="2"/>
        <v>160</v>
      </c>
      <c r="K42" s="3">
        <v>150</v>
      </c>
      <c r="L42" s="2">
        <f t="shared" si="3"/>
        <v>10</v>
      </c>
      <c r="M42" s="2" t="s">
        <v>268</v>
      </c>
      <c r="N42" s="3">
        <v>45</v>
      </c>
      <c r="O42" s="3">
        <v>0.85</v>
      </c>
      <c r="P42" s="2" t="s">
        <v>210</v>
      </c>
      <c r="Q42" s="2" t="s">
        <v>311</v>
      </c>
    </row>
    <row r="43" spans="1:17" ht="28.8" customHeight="1">
      <c r="A43" s="2" t="s">
        <v>312</v>
      </c>
      <c r="B43" s="2" t="s">
        <v>309</v>
      </c>
      <c r="C43" s="2" t="s">
        <v>313</v>
      </c>
      <c r="D43" s="2" t="s">
        <v>290</v>
      </c>
      <c r="E43" s="2" t="s">
        <v>101</v>
      </c>
      <c r="F43" s="2" t="s">
        <v>9</v>
      </c>
      <c r="G43" s="3">
        <v>3</v>
      </c>
      <c r="H43" s="3">
        <v>240</v>
      </c>
      <c r="I43" s="3">
        <v>1</v>
      </c>
      <c r="J43" s="2">
        <f t="shared" si="2"/>
        <v>240</v>
      </c>
      <c r="K43" s="3">
        <v>225</v>
      </c>
      <c r="L43" s="2">
        <f t="shared" si="3"/>
        <v>15</v>
      </c>
      <c r="M43" s="2" t="s">
        <v>268</v>
      </c>
      <c r="N43" s="3">
        <v>45</v>
      </c>
      <c r="O43" s="3">
        <v>0.85</v>
      </c>
      <c r="P43" s="2" t="s">
        <v>210</v>
      </c>
      <c r="Q43" s="2" t="s">
        <v>311</v>
      </c>
    </row>
    <row r="44" spans="1:17" ht="28.8" customHeight="1">
      <c r="A44" s="2" t="s">
        <v>314</v>
      </c>
      <c r="B44" s="2" t="s">
        <v>309</v>
      </c>
      <c r="C44" s="2" t="s">
        <v>315</v>
      </c>
      <c r="D44" s="2" t="s">
        <v>290</v>
      </c>
      <c r="E44" s="2" t="s">
        <v>102</v>
      </c>
      <c r="F44" s="2" t="s">
        <v>9</v>
      </c>
      <c r="G44" s="3">
        <v>4</v>
      </c>
      <c r="H44" s="3">
        <v>320</v>
      </c>
      <c r="I44" s="3">
        <v>1</v>
      </c>
      <c r="J44" s="2">
        <f t="shared" si="2"/>
        <v>320</v>
      </c>
      <c r="K44" s="3">
        <v>350</v>
      </c>
      <c r="L44" s="2">
        <f t="shared" si="3"/>
        <v>-30</v>
      </c>
      <c r="M44" s="2" t="s">
        <v>268</v>
      </c>
      <c r="N44" s="3">
        <v>45</v>
      </c>
      <c r="O44" s="3">
        <v>0.85</v>
      </c>
      <c r="P44" s="2" t="s">
        <v>210</v>
      </c>
      <c r="Q44" s="2" t="s">
        <v>311</v>
      </c>
    </row>
    <row r="45" spans="1:17" ht="28.8" customHeight="1">
      <c r="A45" s="2" t="s">
        <v>316</v>
      </c>
      <c r="B45" s="2" t="s">
        <v>317</v>
      </c>
      <c r="C45" s="2" t="s">
        <v>318</v>
      </c>
      <c r="D45" s="2" t="s">
        <v>290</v>
      </c>
      <c r="E45" s="2" t="s">
        <v>98</v>
      </c>
      <c r="F45" s="2" t="s">
        <v>181</v>
      </c>
      <c r="G45" s="3">
        <v>4</v>
      </c>
      <c r="H45" s="3">
        <v>100</v>
      </c>
      <c r="I45" s="3">
        <v>1</v>
      </c>
      <c r="J45" s="2">
        <f t="shared" si="2"/>
        <v>100</v>
      </c>
      <c r="K45" s="3">
        <v>100</v>
      </c>
      <c r="L45" s="2">
        <f t="shared" si="3"/>
        <v>0</v>
      </c>
      <c r="M45" s="2" t="s">
        <v>319</v>
      </c>
      <c r="N45" s="3">
        <v>50</v>
      </c>
      <c r="O45" s="3">
        <v>0.85</v>
      </c>
      <c r="P45" s="2" t="s">
        <v>210</v>
      </c>
      <c r="Q45" s="2" t="s">
        <v>320</v>
      </c>
    </row>
    <row r="46" spans="1:17" ht="28.8" customHeight="1">
      <c r="A46" s="2" t="s">
        <v>321</v>
      </c>
      <c r="B46" s="2" t="s">
        <v>317</v>
      </c>
      <c r="C46" s="2" t="s">
        <v>322</v>
      </c>
      <c r="D46" s="2" t="s">
        <v>290</v>
      </c>
      <c r="E46" s="2" t="s">
        <v>100</v>
      </c>
      <c r="F46" s="2" t="s">
        <v>181</v>
      </c>
      <c r="G46" s="3">
        <v>6</v>
      </c>
      <c r="H46" s="3">
        <v>150</v>
      </c>
      <c r="I46" s="3">
        <v>1</v>
      </c>
      <c r="J46" s="2">
        <f t="shared" si="2"/>
        <v>150</v>
      </c>
      <c r="K46" s="3">
        <v>150</v>
      </c>
      <c r="L46" s="2">
        <f t="shared" si="3"/>
        <v>0</v>
      </c>
      <c r="M46" s="2" t="s">
        <v>319</v>
      </c>
      <c r="N46" s="3">
        <v>50</v>
      </c>
      <c r="O46" s="3">
        <v>0.85</v>
      </c>
      <c r="P46" s="2" t="s">
        <v>210</v>
      </c>
      <c r="Q46" s="2" t="s">
        <v>320</v>
      </c>
    </row>
    <row r="47" spans="1:17" ht="28.8" customHeight="1">
      <c r="A47" s="2" t="s">
        <v>323</v>
      </c>
      <c r="B47" s="2" t="s">
        <v>317</v>
      </c>
      <c r="C47" s="2" t="s">
        <v>324</v>
      </c>
      <c r="D47" s="2" t="s">
        <v>290</v>
      </c>
      <c r="E47" s="2" t="s">
        <v>101</v>
      </c>
      <c r="F47" s="2" t="s">
        <v>181</v>
      </c>
      <c r="G47" s="3">
        <v>9</v>
      </c>
      <c r="H47" s="3">
        <v>225</v>
      </c>
      <c r="I47" s="3">
        <v>1</v>
      </c>
      <c r="J47" s="2">
        <f t="shared" si="2"/>
        <v>225</v>
      </c>
      <c r="K47" s="3">
        <v>225</v>
      </c>
      <c r="L47" s="2">
        <f t="shared" si="3"/>
        <v>0</v>
      </c>
      <c r="M47" s="2" t="s">
        <v>319</v>
      </c>
      <c r="N47" s="3">
        <v>50</v>
      </c>
      <c r="O47" s="3">
        <v>0.85</v>
      </c>
      <c r="P47" s="2" t="s">
        <v>210</v>
      </c>
      <c r="Q47" s="2" t="s">
        <v>320</v>
      </c>
    </row>
    <row r="48" spans="1:17" ht="28.8" customHeight="1">
      <c r="A48" s="2" t="s">
        <v>325</v>
      </c>
      <c r="B48" s="2" t="s">
        <v>317</v>
      </c>
      <c r="C48" s="2" t="s">
        <v>326</v>
      </c>
      <c r="D48" s="2" t="s">
        <v>290</v>
      </c>
      <c r="E48" s="2" t="s">
        <v>102</v>
      </c>
      <c r="F48" s="2" t="s">
        <v>181</v>
      </c>
      <c r="G48" s="3">
        <v>14</v>
      </c>
      <c r="H48" s="3">
        <v>350</v>
      </c>
      <c r="I48" s="3">
        <v>1</v>
      </c>
      <c r="J48" s="2">
        <f t="shared" si="2"/>
        <v>350</v>
      </c>
      <c r="K48" s="3">
        <v>350</v>
      </c>
      <c r="L48" s="2">
        <f t="shared" si="3"/>
        <v>0</v>
      </c>
      <c r="M48" s="2" t="s">
        <v>319</v>
      </c>
      <c r="N48" s="3">
        <v>50</v>
      </c>
      <c r="O48" s="3">
        <v>0.85</v>
      </c>
      <c r="P48" s="2" t="s">
        <v>210</v>
      </c>
      <c r="Q48" s="2" t="s">
        <v>320</v>
      </c>
    </row>
    <row r="49" spans="1:17" ht="28.8" customHeight="1">
      <c r="A49" s="2" t="s">
        <v>327</v>
      </c>
      <c r="B49" s="2" t="s">
        <v>328</v>
      </c>
      <c r="C49" s="2" t="s">
        <v>329</v>
      </c>
      <c r="D49" s="2" t="s">
        <v>290</v>
      </c>
      <c r="E49" s="2" t="s">
        <v>98</v>
      </c>
      <c r="F49" s="2" t="s">
        <v>157</v>
      </c>
      <c r="G49" s="3">
        <v>3</v>
      </c>
      <c r="H49" s="3">
        <v>99</v>
      </c>
      <c r="I49" s="3">
        <v>1</v>
      </c>
      <c r="J49" s="2">
        <f t="shared" si="2"/>
        <v>99</v>
      </c>
      <c r="K49" s="3">
        <v>100</v>
      </c>
      <c r="L49" s="2">
        <f t="shared" si="3"/>
        <v>-1</v>
      </c>
      <c r="M49" s="2" t="s">
        <v>268</v>
      </c>
      <c r="N49" s="3">
        <v>55</v>
      </c>
      <c r="O49" s="3">
        <v>0.85</v>
      </c>
      <c r="P49" s="2" t="s">
        <v>210</v>
      </c>
      <c r="Q49" s="2" t="s">
        <v>330</v>
      </c>
    </row>
    <row r="50" spans="1:17" ht="28.8" customHeight="1">
      <c r="A50" s="2" t="s">
        <v>331</v>
      </c>
      <c r="B50" s="2" t="s">
        <v>328</v>
      </c>
      <c r="C50" s="2" t="s">
        <v>332</v>
      </c>
      <c r="D50" s="2" t="s">
        <v>290</v>
      </c>
      <c r="E50" s="2" t="s">
        <v>100</v>
      </c>
      <c r="F50" s="2" t="s">
        <v>157</v>
      </c>
      <c r="G50" s="3">
        <v>5</v>
      </c>
      <c r="H50" s="3">
        <v>165</v>
      </c>
      <c r="I50" s="3">
        <v>1</v>
      </c>
      <c r="J50" s="2">
        <f t="shared" si="2"/>
        <v>165</v>
      </c>
      <c r="K50" s="3">
        <v>150</v>
      </c>
      <c r="L50" s="2">
        <f t="shared" si="3"/>
        <v>15</v>
      </c>
      <c r="M50" s="2" t="s">
        <v>268</v>
      </c>
      <c r="N50" s="3">
        <v>55</v>
      </c>
      <c r="O50" s="3">
        <v>0.85</v>
      </c>
      <c r="P50" s="2" t="s">
        <v>210</v>
      </c>
      <c r="Q50" s="2" t="s">
        <v>330</v>
      </c>
    </row>
    <row r="51" spans="1:17" ht="28.8" customHeight="1">
      <c r="A51" s="2" t="s">
        <v>333</v>
      </c>
      <c r="B51" s="2" t="s">
        <v>328</v>
      </c>
      <c r="C51" s="2" t="s">
        <v>334</v>
      </c>
      <c r="D51" s="2" t="s">
        <v>290</v>
      </c>
      <c r="E51" s="2" t="s">
        <v>101</v>
      </c>
      <c r="F51" s="2" t="s">
        <v>157</v>
      </c>
      <c r="G51" s="3">
        <v>7</v>
      </c>
      <c r="H51" s="3">
        <v>231</v>
      </c>
      <c r="I51" s="3">
        <v>1</v>
      </c>
      <c r="J51" s="2">
        <f t="shared" si="2"/>
        <v>231</v>
      </c>
      <c r="K51" s="3">
        <v>225</v>
      </c>
      <c r="L51" s="2">
        <f t="shared" si="3"/>
        <v>6</v>
      </c>
      <c r="M51" s="2" t="s">
        <v>268</v>
      </c>
      <c r="N51" s="3">
        <v>55</v>
      </c>
      <c r="O51" s="3">
        <v>0.85</v>
      </c>
      <c r="P51" s="2" t="s">
        <v>210</v>
      </c>
      <c r="Q51" s="2" t="s">
        <v>330</v>
      </c>
    </row>
    <row r="52" spans="1:17" ht="28.8" customHeight="1">
      <c r="A52" s="2" t="s">
        <v>335</v>
      </c>
      <c r="B52" s="2" t="s">
        <v>328</v>
      </c>
      <c r="C52" s="2" t="s">
        <v>336</v>
      </c>
      <c r="D52" s="2" t="s">
        <v>290</v>
      </c>
      <c r="E52" s="2" t="s">
        <v>102</v>
      </c>
      <c r="F52" s="2" t="s">
        <v>157</v>
      </c>
      <c r="G52" s="3">
        <v>10</v>
      </c>
      <c r="H52" s="3">
        <v>330</v>
      </c>
      <c r="I52" s="3">
        <v>1</v>
      </c>
      <c r="J52" s="2">
        <f t="shared" si="2"/>
        <v>330</v>
      </c>
      <c r="K52" s="3">
        <v>350</v>
      </c>
      <c r="L52" s="2">
        <f t="shared" si="3"/>
        <v>-20</v>
      </c>
      <c r="M52" s="2" t="s">
        <v>268</v>
      </c>
      <c r="N52" s="3">
        <v>55</v>
      </c>
      <c r="O52" s="3">
        <v>0.85</v>
      </c>
      <c r="P52" s="2" t="s">
        <v>210</v>
      </c>
      <c r="Q52" s="2" t="s">
        <v>330</v>
      </c>
    </row>
    <row r="53" spans="1:17" ht="28.8" customHeight="1">
      <c r="A53" s="2" t="s">
        <v>337</v>
      </c>
      <c r="B53" s="2" t="s">
        <v>338</v>
      </c>
      <c r="C53" s="2" t="s">
        <v>339</v>
      </c>
      <c r="D53" s="2" t="s">
        <v>340</v>
      </c>
      <c r="E53" s="2" t="s">
        <v>98</v>
      </c>
      <c r="F53" s="2" t="s">
        <v>6</v>
      </c>
      <c r="G53" s="3">
        <v>10</v>
      </c>
      <c r="H53" s="3">
        <v>100</v>
      </c>
      <c r="I53" s="3">
        <v>1</v>
      </c>
      <c r="J53" s="2">
        <f t="shared" si="2"/>
        <v>100</v>
      </c>
      <c r="K53" s="3">
        <v>100</v>
      </c>
      <c r="L53" s="2">
        <f t="shared" si="3"/>
        <v>0</v>
      </c>
      <c r="M53" s="2" t="s">
        <v>209</v>
      </c>
      <c r="N53" s="3">
        <v>70</v>
      </c>
      <c r="O53" s="3">
        <v>0.95</v>
      </c>
      <c r="P53" s="2" t="s">
        <v>210</v>
      </c>
      <c r="Q53" s="2" t="s">
        <v>341</v>
      </c>
    </row>
    <row r="54" spans="1:17" ht="28.8" customHeight="1">
      <c r="A54" s="2" t="s">
        <v>342</v>
      </c>
      <c r="B54" s="2" t="s">
        <v>338</v>
      </c>
      <c r="C54" s="2" t="s">
        <v>343</v>
      </c>
      <c r="D54" s="2" t="s">
        <v>340</v>
      </c>
      <c r="E54" s="2" t="s">
        <v>100</v>
      </c>
      <c r="F54" s="2" t="s">
        <v>6</v>
      </c>
      <c r="G54" s="3">
        <v>15</v>
      </c>
      <c r="H54" s="3">
        <v>150</v>
      </c>
      <c r="I54" s="3">
        <v>1</v>
      </c>
      <c r="J54" s="2">
        <f t="shared" si="2"/>
        <v>150</v>
      </c>
      <c r="K54" s="3">
        <v>150</v>
      </c>
      <c r="L54" s="2">
        <f t="shared" si="3"/>
        <v>0</v>
      </c>
      <c r="M54" s="2" t="s">
        <v>209</v>
      </c>
      <c r="N54" s="3">
        <v>70</v>
      </c>
      <c r="O54" s="3">
        <v>0.95</v>
      </c>
      <c r="P54" s="2" t="s">
        <v>210</v>
      </c>
      <c r="Q54" s="2" t="s">
        <v>341</v>
      </c>
    </row>
    <row r="55" spans="1:17" ht="28.8" customHeight="1">
      <c r="A55" s="2" t="s">
        <v>344</v>
      </c>
      <c r="B55" s="2" t="s">
        <v>338</v>
      </c>
      <c r="C55" s="2" t="s">
        <v>345</v>
      </c>
      <c r="D55" s="2" t="s">
        <v>340</v>
      </c>
      <c r="E55" s="2" t="s">
        <v>101</v>
      </c>
      <c r="F55" s="2" t="s">
        <v>6</v>
      </c>
      <c r="G55" s="3">
        <v>22</v>
      </c>
      <c r="H55" s="3">
        <v>220</v>
      </c>
      <c r="I55" s="3">
        <v>1</v>
      </c>
      <c r="J55" s="2">
        <f t="shared" si="2"/>
        <v>220</v>
      </c>
      <c r="K55" s="3">
        <v>225</v>
      </c>
      <c r="L55" s="2">
        <f t="shared" si="3"/>
        <v>-5</v>
      </c>
      <c r="M55" s="2" t="s">
        <v>209</v>
      </c>
      <c r="N55" s="3">
        <v>70</v>
      </c>
      <c r="O55" s="3">
        <v>0.95</v>
      </c>
      <c r="P55" s="2" t="s">
        <v>210</v>
      </c>
      <c r="Q55" s="2" t="s">
        <v>341</v>
      </c>
    </row>
    <row r="56" spans="1:17" ht="28.8" customHeight="1">
      <c r="A56" s="2" t="s">
        <v>346</v>
      </c>
      <c r="B56" s="2" t="s">
        <v>338</v>
      </c>
      <c r="C56" s="2" t="s">
        <v>347</v>
      </c>
      <c r="D56" s="2" t="s">
        <v>340</v>
      </c>
      <c r="E56" s="2" t="s">
        <v>102</v>
      </c>
      <c r="F56" s="2" t="s">
        <v>6</v>
      </c>
      <c r="G56" s="3">
        <v>35</v>
      </c>
      <c r="H56" s="3">
        <v>350</v>
      </c>
      <c r="I56" s="3">
        <v>1</v>
      </c>
      <c r="J56" s="2">
        <f t="shared" si="2"/>
        <v>350</v>
      </c>
      <c r="K56" s="3">
        <v>350</v>
      </c>
      <c r="L56" s="2">
        <f t="shared" si="3"/>
        <v>0</v>
      </c>
      <c r="M56" s="2" t="s">
        <v>209</v>
      </c>
      <c r="N56" s="3">
        <v>70</v>
      </c>
      <c r="O56" s="3">
        <v>0.95</v>
      </c>
      <c r="P56" s="2" t="s">
        <v>210</v>
      </c>
      <c r="Q56" s="2" t="s">
        <v>341</v>
      </c>
    </row>
    <row r="57" spans="1:17" ht="28.8" customHeight="1">
      <c r="A57" s="2" t="s">
        <v>348</v>
      </c>
      <c r="B57" s="2" t="s">
        <v>349</v>
      </c>
      <c r="C57" s="2" t="s">
        <v>350</v>
      </c>
      <c r="D57" s="2" t="s">
        <v>340</v>
      </c>
      <c r="E57" s="2" t="s">
        <v>98</v>
      </c>
      <c r="F57" s="2" t="s">
        <v>8</v>
      </c>
      <c r="G57" s="3">
        <v>12</v>
      </c>
      <c r="H57" s="3">
        <v>96</v>
      </c>
      <c r="I57" s="3">
        <v>1</v>
      </c>
      <c r="J57" s="2">
        <f t="shared" si="2"/>
        <v>96</v>
      </c>
      <c r="K57" s="3">
        <v>100</v>
      </c>
      <c r="L57" s="2">
        <f t="shared" si="3"/>
        <v>-4</v>
      </c>
      <c r="M57" s="2" t="s">
        <v>209</v>
      </c>
      <c r="N57" s="3">
        <v>65</v>
      </c>
      <c r="O57" s="3">
        <v>0.95</v>
      </c>
      <c r="P57" s="2" t="s">
        <v>210</v>
      </c>
      <c r="Q57" s="2" t="s">
        <v>351</v>
      </c>
    </row>
    <row r="58" spans="1:17" ht="28.8" customHeight="1">
      <c r="A58" s="2" t="s">
        <v>352</v>
      </c>
      <c r="B58" s="2" t="s">
        <v>349</v>
      </c>
      <c r="C58" s="2" t="s">
        <v>353</v>
      </c>
      <c r="D58" s="2" t="s">
        <v>340</v>
      </c>
      <c r="E58" s="2" t="s">
        <v>100</v>
      </c>
      <c r="F58" s="2" t="s">
        <v>8</v>
      </c>
      <c r="G58" s="3">
        <v>19</v>
      </c>
      <c r="H58" s="3">
        <v>152</v>
      </c>
      <c r="I58" s="3">
        <v>1</v>
      </c>
      <c r="J58" s="2">
        <f t="shared" si="2"/>
        <v>152</v>
      </c>
      <c r="K58" s="3">
        <v>150</v>
      </c>
      <c r="L58" s="2">
        <f t="shared" si="3"/>
        <v>2</v>
      </c>
      <c r="M58" s="2" t="s">
        <v>209</v>
      </c>
      <c r="N58" s="3">
        <v>65</v>
      </c>
      <c r="O58" s="3">
        <v>0.95</v>
      </c>
      <c r="P58" s="2" t="s">
        <v>210</v>
      </c>
      <c r="Q58" s="2" t="s">
        <v>351</v>
      </c>
    </row>
    <row r="59" spans="1:17" ht="28.8" customHeight="1">
      <c r="A59" s="2" t="s">
        <v>354</v>
      </c>
      <c r="B59" s="2" t="s">
        <v>349</v>
      </c>
      <c r="C59" s="2" t="s">
        <v>355</v>
      </c>
      <c r="D59" s="2" t="s">
        <v>340</v>
      </c>
      <c r="E59" s="2" t="s">
        <v>101</v>
      </c>
      <c r="F59" s="2" t="s">
        <v>8</v>
      </c>
      <c r="G59" s="3">
        <v>28</v>
      </c>
      <c r="H59" s="3">
        <v>224</v>
      </c>
      <c r="I59" s="3">
        <v>1</v>
      </c>
      <c r="J59" s="2">
        <f t="shared" si="2"/>
        <v>224</v>
      </c>
      <c r="K59" s="3">
        <v>225</v>
      </c>
      <c r="L59" s="2">
        <f t="shared" si="3"/>
        <v>-1</v>
      </c>
      <c r="M59" s="2" t="s">
        <v>209</v>
      </c>
      <c r="N59" s="3">
        <v>65</v>
      </c>
      <c r="O59" s="3">
        <v>0.95</v>
      </c>
      <c r="P59" s="2" t="s">
        <v>210</v>
      </c>
      <c r="Q59" s="2" t="s">
        <v>351</v>
      </c>
    </row>
    <row r="60" spans="1:17" ht="28.8" customHeight="1">
      <c r="A60" s="2" t="s">
        <v>356</v>
      </c>
      <c r="B60" s="2" t="s">
        <v>349</v>
      </c>
      <c r="C60" s="2" t="s">
        <v>357</v>
      </c>
      <c r="D60" s="2" t="s">
        <v>340</v>
      </c>
      <c r="E60" s="2" t="s">
        <v>102</v>
      </c>
      <c r="F60" s="2" t="s">
        <v>8</v>
      </c>
      <c r="G60" s="3">
        <v>44</v>
      </c>
      <c r="H60" s="3">
        <v>352</v>
      </c>
      <c r="I60" s="3">
        <v>1</v>
      </c>
      <c r="J60" s="2">
        <f t="shared" si="2"/>
        <v>352</v>
      </c>
      <c r="K60" s="3">
        <v>350</v>
      </c>
      <c r="L60" s="2">
        <f t="shared" si="3"/>
        <v>2</v>
      </c>
      <c r="M60" s="2" t="s">
        <v>209</v>
      </c>
      <c r="N60" s="3">
        <v>65</v>
      </c>
      <c r="O60" s="3">
        <v>0.95</v>
      </c>
      <c r="P60" s="2" t="s">
        <v>210</v>
      </c>
      <c r="Q60" s="2" t="s">
        <v>351</v>
      </c>
    </row>
    <row r="61" spans="1:17" ht="28.8" customHeight="1">
      <c r="A61" s="2" t="s">
        <v>358</v>
      </c>
      <c r="B61" s="2" t="s">
        <v>359</v>
      </c>
      <c r="C61" s="2" t="s">
        <v>360</v>
      </c>
      <c r="D61" s="2" t="s">
        <v>361</v>
      </c>
      <c r="E61" s="2" t="s">
        <v>98</v>
      </c>
      <c r="F61" s="2" t="s">
        <v>162</v>
      </c>
      <c r="G61" s="3">
        <v>20</v>
      </c>
      <c r="H61" s="3">
        <v>100</v>
      </c>
      <c r="I61" s="3">
        <v>1</v>
      </c>
      <c r="J61" s="2">
        <f t="shared" si="2"/>
        <v>100</v>
      </c>
      <c r="K61" s="3">
        <v>100</v>
      </c>
      <c r="L61" s="2">
        <f t="shared" si="3"/>
        <v>0</v>
      </c>
      <c r="M61" s="2" t="s">
        <v>209</v>
      </c>
      <c r="N61" s="3">
        <v>55</v>
      </c>
      <c r="O61" s="3">
        <v>0.95</v>
      </c>
      <c r="P61" s="2" t="s">
        <v>210</v>
      </c>
      <c r="Q61" s="2" t="s">
        <v>362</v>
      </c>
    </row>
    <row r="62" spans="1:17" ht="28.8" customHeight="1">
      <c r="A62" s="2" t="s">
        <v>363</v>
      </c>
      <c r="B62" s="2" t="s">
        <v>359</v>
      </c>
      <c r="C62" s="2" t="s">
        <v>364</v>
      </c>
      <c r="D62" s="2" t="s">
        <v>361</v>
      </c>
      <c r="E62" s="2" t="s">
        <v>100</v>
      </c>
      <c r="F62" s="2" t="s">
        <v>162</v>
      </c>
      <c r="G62" s="3">
        <v>30</v>
      </c>
      <c r="H62" s="3">
        <v>150</v>
      </c>
      <c r="I62" s="3">
        <v>1</v>
      </c>
      <c r="J62" s="2">
        <f t="shared" si="2"/>
        <v>150</v>
      </c>
      <c r="K62" s="3">
        <v>150</v>
      </c>
      <c r="L62" s="2">
        <f t="shared" si="3"/>
        <v>0</v>
      </c>
      <c r="M62" s="2" t="s">
        <v>209</v>
      </c>
      <c r="N62" s="3">
        <v>55</v>
      </c>
      <c r="O62" s="3">
        <v>0.95</v>
      </c>
      <c r="P62" s="2" t="s">
        <v>210</v>
      </c>
      <c r="Q62" s="2" t="s">
        <v>362</v>
      </c>
    </row>
    <row r="63" spans="1:17" ht="28.8" customHeight="1">
      <c r="A63" s="2" t="s">
        <v>365</v>
      </c>
      <c r="B63" s="2" t="s">
        <v>359</v>
      </c>
      <c r="C63" s="2" t="s">
        <v>366</v>
      </c>
      <c r="D63" s="2" t="s">
        <v>361</v>
      </c>
      <c r="E63" s="2" t="s">
        <v>101</v>
      </c>
      <c r="F63" s="2" t="s">
        <v>162</v>
      </c>
      <c r="G63" s="3">
        <v>45</v>
      </c>
      <c r="H63" s="3">
        <v>225</v>
      </c>
      <c r="I63" s="3">
        <v>1</v>
      </c>
      <c r="J63" s="2">
        <f t="shared" si="2"/>
        <v>225</v>
      </c>
      <c r="K63" s="3">
        <v>225</v>
      </c>
      <c r="L63" s="2">
        <f t="shared" si="3"/>
        <v>0</v>
      </c>
      <c r="M63" s="2" t="s">
        <v>209</v>
      </c>
      <c r="N63" s="3">
        <v>55</v>
      </c>
      <c r="O63" s="3">
        <v>0.95</v>
      </c>
      <c r="P63" s="2" t="s">
        <v>210</v>
      </c>
      <c r="Q63" s="2" t="s">
        <v>362</v>
      </c>
    </row>
    <row r="64" spans="1:17" ht="28.8" customHeight="1">
      <c r="A64" s="2" t="s">
        <v>367</v>
      </c>
      <c r="B64" s="2" t="s">
        <v>359</v>
      </c>
      <c r="C64" s="2" t="s">
        <v>368</v>
      </c>
      <c r="D64" s="2" t="s">
        <v>361</v>
      </c>
      <c r="E64" s="2" t="s">
        <v>102</v>
      </c>
      <c r="F64" s="2" t="s">
        <v>162</v>
      </c>
      <c r="G64" s="3">
        <v>70</v>
      </c>
      <c r="H64" s="3">
        <v>350</v>
      </c>
      <c r="I64" s="3">
        <v>1</v>
      </c>
      <c r="J64" s="2">
        <f t="shared" si="2"/>
        <v>350</v>
      </c>
      <c r="K64" s="3">
        <v>350</v>
      </c>
      <c r="L64" s="2">
        <f t="shared" si="3"/>
        <v>0</v>
      </c>
      <c r="M64" s="2" t="s">
        <v>209</v>
      </c>
      <c r="N64" s="3">
        <v>55</v>
      </c>
      <c r="O64" s="3">
        <v>0.95</v>
      </c>
      <c r="P64" s="2" t="s">
        <v>210</v>
      </c>
      <c r="Q64" s="2" t="s">
        <v>362</v>
      </c>
    </row>
    <row r="65" spans="1:17" ht="28.8" customHeight="1">
      <c r="A65" s="2" t="s">
        <v>369</v>
      </c>
      <c r="B65" s="2" t="s">
        <v>370</v>
      </c>
      <c r="C65" s="2" t="s">
        <v>371</v>
      </c>
      <c r="D65" s="2" t="s">
        <v>372</v>
      </c>
      <c r="E65" s="2" t="s">
        <v>98</v>
      </c>
      <c r="F65" s="2" t="s">
        <v>154</v>
      </c>
      <c r="G65" s="3">
        <v>5</v>
      </c>
      <c r="H65" s="3">
        <v>100</v>
      </c>
      <c r="I65" s="3">
        <v>1</v>
      </c>
      <c r="J65" s="2">
        <f t="shared" si="2"/>
        <v>100</v>
      </c>
      <c r="K65" s="3">
        <v>100</v>
      </c>
      <c r="L65" s="2">
        <f t="shared" si="3"/>
        <v>0</v>
      </c>
      <c r="M65" s="2" t="s">
        <v>209</v>
      </c>
      <c r="N65" s="3">
        <v>35</v>
      </c>
      <c r="O65" s="3">
        <v>0.9</v>
      </c>
      <c r="P65" s="2" t="s">
        <v>210</v>
      </c>
      <c r="Q65" s="2" t="s">
        <v>373</v>
      </c>
    </row>
    <row r="66" spans="1:17" ht="28.8" customHeight="1">
      <c r="A66" s="2" t="s">
        <v>374</v>
      </c>
      <c r="B66" s="2" t="s">
        <v>370</v>
      </c>
      <c r="C66" s="2" t="s">
        <v>375</v>
      </c>
      <c r="D66" s="2" t="s">
        <v>372</v>
      </c>
      <c r="E66" s="2" t="s">
        <v>100</v>
      </c>
      <c r="F66" s="2" t="s">
        <v>154</v>
      </c>
      <c r="G66" s="3">
        <v>8</v>
      </c>
      <c r="H66" s="3">
        <v>160</v>
      </c>
      <c r="I66" s="3">
        <v>1</v>
      </c>
      <c r="J66" s="2">
        <f t="shared" ref="J66:J80" si="4">H66*I66</f>
        <v>160</v>
      </c>
      <c r="K66" s="3">
        <v>150</v>
      </c>
      <c r="L66" s="2">
        <f t="shared" ref="L66:L80" si="5">J66-K66</f>
        <v>10</v>
      </c>
      <c r="M66" s="2" t="s">
        <v>209</v>
      </c>
      <c r="N66" s="3">
        <v>35</v>
      </c>
      <c r="O66" s="3">
        <v>0.9</v>
      </c>
      <c r="P66" s="2" t="s">
        <v>210</v>
      </c>
      <c r="Q66" s="2" t="s">
        <v>373</v>
      </c>
    </row>
    <row r="67" spans="1:17" ht="28.8" customHeight="1">
      <c r="A67" s="2" t="s">
        <v>376</v>
      </c>
      <c r="B67" s="2" t="s">
        <v>370</v>
      </c>
      <c r="C67" s="2" t="s">
        <v>377</v>
      </c>
      <c r="D67" s="2" t="s">
        <v>372</v>
      </c>
      <c r="E67" s="2" t="s">
        <v>101</v>
      </c>
      <c r="F67" s="2" t="s">
        <v>154</v>
      </c>
      <c r="G67" s="3">
        <v>11</v>
      </c>
      <c r="H67" s="3">
        <v>220</v>
      </c>
      <c r="I67" s="3">
        <v>1</v>
      </c>
      <c r="J67" s="2">
        <f t="shared" si="4"/>
        <v>220</v>
      </c>
      <c r="K67" s="3">
        <v>225</v>
      </c>
      <c r="L67" s="2">
        <f t="shared" si="5"/>
        <v>-5</v>
      </c>
      <c r="M67" s="2" t="s">
        <v>209</v>
      </c>
      <c r="N67" s="3">
        <v>35</v>
      </c>
      <c r="O67" s="3">
        <v>0.9</v>
      </c>
      <c r="P67" s="2" t="s">
        <v>210</v>
      </c>
      <c r="Q67" s="2" t="s">
        <v>373</v>
      </c>
    </row>
    <row r="68" spans="1:17" ht="28.8" customHeight="1">
      <c r="A68" s="2" t="s">
        <v>378</v>
      </c>
      <c r="B68" s="2" t="s">
        <v>370</v>
      </c>
      <c r="C68" s="2" t="s">
        <v>379</v>
      </c>
      <c r="D68" s="2" t="s">
        <v>372</v>
      </c>
      <c r="E68" s="2" t="s">
        <v>102</v>
      </c>
      <c r="F68" s="2" t="s">
        <v>154</v>
      </c>
      <c r="G68" s="3">
        <v>17</v>
      </c>
      <c r="H68" s="3">
        <v>340</v>
      </c>
      <c r="I68" s="3">
        <v>1</v>
      </c>
      <c r="J68" s="2">
        <f t="shared" si="4"/>
        <v>340</v>
      </c>
      <c r="K68" s="3">
        <v>350</v>
      </c>
      <c r="L68" s="2">
        <f t="shared" si="5"/>
        <v>-10</v>
      </c>
      <c r="M68" s="2" t="s">
        <v>209</v>
      </c>
      <c r="N68" s="3">
        <v>35</v>
      </c>
      <c r="O68" s="3">
        <v>0.9</v>
      </c>
      <c r="P68" s="2" t="s">
        <v>210</v>
      </c>
      <c r="Q68" s="2" t="s">
        <v>373</v>
      </c>
    </row>
    <row r="69" spans="1:17" ht="28.8" customHeight="1">
      <c r="A69" s="2" t="s">
        <v>380</v>
      </c>
      <c r="B69" s="2" t="s">
        <v>381</v>
      </c>
      <c r="C69" s="2" t="s">
        <v>382</v>
      </c>
      <c r="D69" s="2" t="s">
        <v>372</v>
      </c>
      <c r="E69" s="2" t="s">
        <v>98</v>
      </c>
      <c r="F69" s="2" t="s">
        <v>175</v>
      </c>
      <c r="G69" s="3">
        <v>7</v>
      </c>
      <c r="H69" s="3">
        <v>105</v>
      </c>
      <c r="I69" s="3">
        <v>1</v>
      </c>
      <c r="J69" s="2">
        <f t="shared" si="4"/>
        <v>105</v>
      </c>
      <c r="K69" s="3">
        <v>100</v>
      </c>
      <c r="L69" s="2">
        <f t="shared" si="5"/>
        <v>5</v>
      </c>
      <c r="M69" s="2" t="s">
        <v>383</v>
      </c>
      <c r="N69" s="3">
        <v>30</v>
      </c>
      <c r="O69" s="3">
        <v>0.8</v>
      </c>
      <c r="P69" s="2" t="s">
        <v>210</v>
      </c>
      <c r="Q69" s="2" t="s">
        <v>384</v>
      </c>
    </row>
    <row r="70" spans="1:17" ht="28.8" customHeight="1">
      <c r="A70" s="2" t="s">
        <v>385</v>
      </c>
      <c r="B70" s="2" t="s">
        <v>381</v>
      </c>
      <c r="C70" s="2" t="s">
        <v>386</v>
      </c>
      <c r="D70" s="2" t="s">
        <v>372</v>
      </c>
      <c r="E70" s="2" t="s">
        <v>100</v>
      </c>
      <c r="F70" s="2" t="s">
        <v>175</v>
      </c>
      <c r="G70" s="3">
        <v>10</v>
      </c>
      <c r="H70" s="3">
        <v>150</v>
      </c>
      <c r="I70" s="3">
        <v>1</v>
      </c>
      <c r="J70" s="2">
        <f t="shared" si="4"/>
        <v>150</v>
      </c>
      <c r="K70" s="3">
        <v>150</v>
      </c>
      <c r="L70" s="2">
        <f t="shared" si="5"/>
        <v>0</v>
      </c>
      <c r="M70" s="2" t="s">
        <v>383</v>
      </c>
      <c r="N70" s="3">
        <v>30</v>
      </c>
      <c r="O70" s="3">
        <v>0.8</v>
      </c>
      <c r="P70" s="2" t="s">
        <v>210</v>
      </c>
      <c r="Q70" s="2" t="s">
        <v>384</v>
      </c>
    </row>
    <row r="71" spans="1:17" ht="28.8" customHeight="1">
      <c r="A71" s="2" t="s">
        <v>387</v>
      </c>
      <c r="B71" s="2" t="s">
        <v>381</v>
      </c>
      <c r="C71" s="2" t="s">
        <v>388</v>
      </c>
      <c r="D71" s="2" t="s">
        <v>372</v>
      </c>
      <c r="E71" s="2" t="s">
        <v>101</v>
      </c>
      <c r="F71" s="2" t="s">
        <v>175</v>
      </c>
      <c r="G71" s="3">
        <v>15</v>
      </c>
      <c r="H71" s="3">
        <v>225</v>
      </c>
      <c r="I71" s="3">
        <v>1</v>
      </c>
      <c r="J71" s="2">
        <f t="shared" si="4"/>
        <v>225</v>
      </c>
      <c r="K71" s="3">
        <v>225</v>
      </c>
      <c r="L71" s="2">
        <f t="shared" si="5"/>
        <v>0</v>
      </c>
      <c r="M71" s="2" t="s">
        <v>383</v>
      </c>
      <c r="N71" s="3">
        <v>30</v>
      </c>
      <c r="O71" s="3">
        <v>0.8</v>
      </c>
      <c r="P71" s="2" t="s">
        <v>210</v>
      </c>
      <c r="Q71" s="2" t="s">
        <v>384</v>
      </c>
    </row>
    <row r="72" spans="1:17" ht="28.8" customHeight="1">
      <c r="A72" s="2" t="s">
        <v>389</v>
      </c>
      <c r="B72" s="2" t="s">
        <v>381</v>
      </c>
      <c r="C72" s="2" t="s">
        <v>390</v>
      </c>
      <c r="D72" s="2" t="s">
        <v>372</v>
      </c>
      <c r="E72" s="2" t="s">
        <v>102</v>
      </c>
      <c r="F72" s="2" t="s">
        <v>175</v>
      </c>
      <c r="G72" s="3">
        <v>23</v>
      </c>
      <c r="H72" s="3">
        <v>345</v>
      </c>
      <c r="I72" s="3">
        <v>1</v>
      </c>
      <c r="J72" s="2">
        <f t="shared" si="4"/>
        <v>345</v>
      </c>
      <c r="K72" s="3">
        <v>350</v>
      </c>
      <c r="L72" s="2">
        <f t="shared" si="5"/>
        <v>-5</v>
      </c>
      <c r="M72" s="2" t="s">
        <v>383</v>
      </c>
      <c r="N72" s="3">
        <v>30</v>
      </c>
      <c r="O72" s="3">
        <v>0.8</v>
      </c>
      <c r="P72" s="2" t="s">
        <v>210</v>
      </c>
      <c r="Q72" s="2" t="s">
        <v>384</v>
      </c>
    </row>
    <row r="73" spans="1:17" ht="28.8" customHeight="1">
      <c r="A73" s="2" t="s">
        <v>391</v>
      </c>
      <c r="B73" s="2" t="s">
        <v>392</v>
      </c>
      <c r="C73" s="2" t="s">
        <v>393</v>
      </c>
      <c r="D73" s="2" t="s">
        <v>372</v>
      </c>
      <c r="E73" s="2" t="s">
        <v>98</v>
      </c>
      <c r="F73" s="2" t="s">
        <v>177</v>
      </c>
      <c r="G73" s="3">
        <v>7</v>
      </c>
      <c r="H73" s="3">
        <v>105</v>
      </c>
      <c r="I73" s="3">
        <v>1</v>
      </c>
      <c r="J73" s="2">
        <f t="shared" si="4"/>
        <v>105</v>
      </c>
      <c r="K73" s="3">
        <v>100</v>
      </c>
      <c r="L73" s="2">
        <f t="shared" si="5"/>
        <v>5</v>
      </c>
      <c r="M73" s="2" t="s">
        <v>394</v>
      </c>
      <c r="N73" s="3">
        <v>25</v>
      </c>
      <c r="O73" s="3">
        <v>0.8</v>
      </c>
      <c r="P73" s="2" t="s">
        <v>210</v>
      </c>
      <c r="Q73" s="2" t="s">
        <v>395</v>
      </c>
    </row>
    <row r="74" spans="1:17" ht="28.8" customHeight="1">
      <c r="A74" s="2" t="s">
        <v>396</v>
      </c>
      <c r="B74" s="2" t="s">
        <v>392</v>
      </c>
      <c r="C74" s="2" t="s">
        <v>397</v>
      </c>
      <c r="D74" s="2" t="s">
        <v>372</v>
      </c>
      <c r="E74" s="2" t="s">
        <v>100</v>
      </c>
      <c r="F74" s="2" t="s">
        <v>177</v>
      </c>
      <c r="G74" s="3">
        <v>10</v>
      </c>
      <c r="H74" s="3">
        <v>150</v>
      </c>
      <c r="I74" s="3">
        <v>1</v>
      </c>
      <c r="J74" s="2">
        <f t="shared" si="4"/>
        <v>150</v>
      </c>
      <c r="K74" s="3">
        <v>150</v>
      </c>
      <c r="L74" s="2">
        <f t="shared" si="5"/>
        <v>0</v>
      </c>
      <c r="M74" s="2" t="s">
        <v>394</v>
      </c>
      <c r="N74" s="3">
        <v>25</v>
      </c>
      <c r="O74" s="3">
        <v>0.8</v>
      </c>
      <c r="P74" s="2" t="s">
        <v>210</v>
      </c>
      <c r="Q74" s="2" t="s">
        <v>395</v>
      </c>
    </row>
    <row r="75" spans="1:17" ht="28.8" customHeight="1">
      <c r="A75" s="2" t="s">
        <v>398</v>
      </c>
      <c r="B75" s="2" t="s">
        <v>392</v>
      </c>
      <c r="C75" s="2" t="s">
        <v>399</v>
      </c>
      <c r="D75" s="2" t="s">
        <v>372</v>
      </c>
      <c r="E75" s="2" t="s">
        <v>101</v>
      </c>
      <c r="F75" s="2" t="s">
        <v>177</v>
      </c>
      <c r="G75" s="3">
        <v>15</v>
      </c>
      <c r="H75" s="3">
        <v>225</v>
      </c>
      <c r="I75" s="3">
        <v>1</v>
      </c>
      <c r="J75" s="2">
        <f t="shared" si="4"/>
        <v>225</v>
      </c>
      <c r="K75" s="3">
        <v>225</v>
      </c>
      <c r="L75" s="2">
        <f t="shared" si="5"/>
        <v>0</v>
      </c>
      <c r="M75" s="2" t="s">
        <v>394</v>
      </c>
      <c r="N75" s="3">
        <v>25</v>
      </c>
      <c r="O75" s="3">
        <v>0.8</v>
      </c>
      <c r="P75" s="2" t="s">
        <v>210</v>
      </c>
      <c r="Q75" s="2" t="s">
        <v>395</v>
      </c>
    </row>
    <row r="76" spans="1:17" ht="28.8" customHeight="1">
      <c r="A76" s="2" t="s">
        <v>400</v>
      </c>
      <c r="B76" s="2" t="s">
        <v>392</v>
      </c>
      <c r="C76" s="2" t="s">
        <v>401</v>
      </c>
      <c r="D76" s="2" t="s">
        <v>372</v>
      </c>
      <c r="E76" s="2" t="s">
        <v>102</v>
      </c>
      <c r="F76" s="2" t="s">
        <v>177</v>
      </c>
      <c r="G76" s="3">
        <v>23</v>
      </c>
      <c r="H76" s="3">
        <v>345</v>
      </c>
      <c r="I76" s="3">
        <v>1</v>
      </c>
      <c r="J76" s="2">
        <f t="shared" si="4"/>
        <v>345</v>
      </c>
      <c r="K76" s="3">
        <v>350</v>
      </c>
      <c r="L76" s="2">
        <f t="shared" si="5"/>
        <v>-5</v>
      </c>
      <c r="M76" s="2" t="s">
        <v>394</v>
      </c>
      <c r="N76" s="3">
        <v>25</v>
      </c>
      <c r="O76" s="3">
        <v>0.8</v>
      </c>
      <c r="P76" s="2" t="s">
        <v>210</v>
      </c>
      <c r="Q76" s="2" t="s">
        <v>395</v>
      </c>
    </row>
    <row r="77" spans="1:17" ht="28.8" customHeight="1">
      <c r="A77" s="2" t="s">
        <v>402</v>
      </c>
      <c r="B77" s="2" t="s">
        <v>403</v>
      </c>
      <c r="C77" s="2" t="s">
        <v>404</v>
      </c>
      <c r="D77" s="2" t="s">
        <v>372</v>
      </c>
      <c r="E77" s="2" t="s">
        <v>98</v>
      </c>
      <c r="F77" s="2" t="s">
        <v>180</v>
      </c>
      <c r="G77" s="3">
        <v>8</v>
      </c>
      <c r="H77" s="3">
        <v>100</v>
      </c>
      <c r="I77" s="3">
        <v>1</v>
      </c>
      <c r="J77" s="2">
        <f t="shared" si="4"/>
        <v>100</v>
      </c>
      <c r="K77" s="3">
        <v>100</v>
      </c>
      <c r="L77" s="2">
        <f t="shared" si="5"/>
        <v>0</v>
      </c>
      <c r="M77" s="2" t="s">
        <v>405</v>
      </c>
      <c r="N77" s="3">
        <v>25</v>
      </c>
      <c r="O77" s="3">
        <v>0.8</v>
      </c>
      <c r="P77" s="2" t="s">
        <v>210</v>
      </c>
      <c r="Q77" s="2" t="s">
        <v>406</v>
      </c>
    </row>
    <row r="78" spans="1:17" ht="28.8" customHeight="1">
      <c r="A78" s="2" t="s">
        <v>407</v>
      </c>
      <c r="B78" s="2" t="s">
        <v>403</v>
      </c>
      <c r="C78" s="2" t="s">
        <v>408</v>
      </c>
      <c r="D78" s="2" t="s">
        <v>372</v>
      </c>
      <c r="E78" s="2" t="s">
        <v>100</v>
      </c>
      <c r="F78" s="2" t="s">
        <v>180</v>
      </c>
      <c r="G78" s="3">
        <v>12</v>
      </c>
      <c r="H78" s="3">
        <v>150</v>
      </c>
      <c r="I78" s="3">
        <v>1</v>
      </c>
      <c r="J78" s="2">
        <f t="shared" si="4"/>
        <v>150</v>
      </c>
      <c r="K78" s="3">
        <v>150</v>
      </c>
      <c r="L78" s="2">
        <f t="shared" si="5"/>
        <v>0</v>
      </c>
      <c r="M78" s="2" t="s">
        <v>405</v>
      </c>
      <c r="N78" s="3">
        <v>25</v>
      </c>
      <c r="O78" s="3">
        <v>0.8</v>
      </c>
      <c r="P78" s="2" t="s">
        <v>210</v>
      </c>
      <c r="Q78" s="2" t="s">
        <v>406</v>
      </c>
    </row>
    <row r="79" spans="1:17" ht="28.8" customHeight="1">
      <c r="A79" s="2" t="s">
        <v>409</v>
      </c>
      <c r="B79" s="2" t="s">
        <v>403</v>
      </c>
      <c r="C79" s="2" t="s">
        <v>410</v>
      </c>
      <c r="D79" s="2" t="s">
        <v>372</v>
      </c>
      <c r="E79" s="2" t="s">
        <v>101</v>
      </c>
      <c r="F79" s="2" t="s">
        <v>180</v>
      </c>
      <c r="G79" s="3">
        <v>18</v>
      </c>
      <c r="H79" s="3">
        <v>225</v>
      </c>
      <c r="I79" s="3">
        <v>1</v>
      </c>
      <c r="J79" s="2">
        <f t="shared" si="4"/>
        <v>225</v>
      </c>
      <c r="K79" s="3">
        <v>225</v>
      </c>
      <c r="L79" s="2">
        <f t="shared" si="5"/>
        <v>0</v>
      </c>
      <c r="M79" s="2" t="s">
        <v>405</v>
      </c>
      <c r="N79" s="3">
        <v>25</v>
      </c>
      <c r="O79" s="3">
        <v>0.8</v>
      </c>
      <c r="P79" s="2" t="s">
        <v>210</v>
      </c>
      <c r="Q79" s="2" t="s">
        <v>406</v>
      </c>
    </row>
    <row r="80" spans="1:17" ht="28.8" customHeight="1">
      <c r="A80" s="2" t="s">
        <v>411</v>
      </c>
      <c r="B80" s="2" t="s">
        <v>403</v>
      </c>
      <c r="C80" s="2" t="s">
        <v>412</v>
      </c>
      <c r="D80" s="2" t="s">
        <v>372</v>
      </c>
      <c r="E80" s="2" t="s">
        <v>102</v>
      </c>
      <c r="F80" s="2" t="s">
        <v>180</v>
      </c>
      <c r="G80" s="3">
        <v>28</v>
      </c>
      <c r="H80" s="3">
        <v>350</v>
      </c>
      <c r="I80" s="3">
        <v>1</v>
      </c>
      <c r="J80" s="2">
        <f t="shared" si="4"/>
        <v>350</v>
      </c>
      <c r="K80" s="3">
        <v>350</v>
      </c>
      <c r="L80" s="2">
        <f t="shared" si="5"/>
        <v>0</v>
      </c>
      <c r="M80" s="2" t="s">
        <v>405</v>
      </c>
      <c r="N80" s="3">
        <v>25</v>
      </c>
      <c r="O80" s="3">
        <v>0.8</v>
      </c>
      <c r="P80" s="2" t="s">
        <v>210</v>
      </c>
      <c r="Q80" s="2" t="s">
        <v>406</v>
      </c>
    </row>
  </sheetData>
  <phoneticPr fontId="4" type="noConversion"/>
  <dataValidations count="2">
    <dataValidation type="list" showInputMessage="1" showErrorMessage="1" sqref="E2:E80" xr:uid="{00000000-0002-0000-0300-000000000000}">
      <formula1>"Common,Rare,Epic,Legendary"</formula1>
    </dataValidation>
    <dataValidation type="list" showInputMessage="1" showErrorMessage="1" sqref="D2:D80" xr:uid="{00000000-0002-0000-0300-000001000000}">
      <formula1>"输出,生存,机动,拾取,经济,其他"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3" customWidth="1"/>
    <col min="2" max="2" width="10" customWidth="1"/>
    <col min="3" max="3" width="11" customWidth="1"/>
    <col min="4" max="4" width="10" customWidth="1"/>
    <col min="5" max="5" width="38" customWidth="1"/>
    <col min="6" max="10" width="10" customWidth="1"/>
    <col min="11" max="11" width="17" customWidth="1"/>
    <col min="12" max="12" width="10" customWidth="1"/>
    <col min="13" max="13" width="19" customWidth="1"/>
    <col min="14" max="14" width="10" customWidth="1"/>
    <col min="15" max="15" width="13" customWidth="1"/>
    <col min="16" max="17" width="10" customWidth="1"/>
    <col min="18" max="18" width="22" customWidth="1"/>
  </cols>
  <sheetData>
    <row r="1" spans="1:18" ht="30" customHeight="1">
      <c r="A1" s="1" t="s">
        <v>413</v>
      </c>
      <c r="B1" s="1" t="s">
        <v>1</v>
      </c>
      <c r="C1" s="1" t="s">
        <v>414</v>
      </c>
      <c r="D1" s="1" t="s">
        <v>2</v>
      </c>
      <c r="E1" s="1" t="s">
        <v>415</v>
      </c>
      <c r="F1" s="1" t="s">
        <v>416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421</v>
      </c>
      <c r="L1" s="1" t="s">
        <v>422</v>
      </c>
      <c r="M1" s="1" t="s">
        <v>423</v>
      </c>
      <c r="N1" s="1" t="s">
        <v>204</v>
      </c>
      <c r="O1" s="1" t="s">
        <v>424</v>
      </c>
      <c r="P1" s="1" t="s">
        <v>201</v>
      </c>
      <c r="Q1" s="1" t="s">
        <v>202</v>
      </c>
      <c r="R1" s="1" t="s">
        <v>18</v>
      </c>
    </row>
    <row r="2" spans="1:18" ht="28.8" customHeight="1">
      <c r="A2" t="s">
        <v>425</v>
      </c>
      <c r="B2" t="s">
        <v>426</v>
      </c>
      <c r="C2" t="s">
        <v>98</v>
      </c>
      <c r="D2" t="s">
        <v>427</v>
      </c>
      <c r="E2" t="s">
        <v>428</v>
      </c>
      <c r="F2">
        <v>100</v>
      </c>
      <c r="G2">
        <v>0</v>
      </c>
      <c r="H2">
        <v>0</v>
      </c>
      <c r="J2">
        <v>100</v>
      </c>
      <c r="K2">
        <f t="shared" ref="K2:K41" si="0">ROUND(J2/4,0)</f>
        <v>25</v>
      </c>
      <c r="L2">
        <f t="shared" ref="L2:L41" si="1">K2</f>
        <v>25</v>
      </c>
      <c r="M2">
        <f t="shared" ref="M2:M41" si="2">ROUND(L2*0.3,0)</f>
        <v>8</v>
      </c>
      <c r="N2" t="s">
        <v>210</v>
      </c>
      <c r="O2" t="s">
        <v>429</v>
      </c>
      <c r="P2" t="s">
        <v>209</v>
      </c>
      <c r="Q2">
        <v>100</v>
      </c>
      <c r="R2" t="s">
        <v>430</v>
      </c>
    </row>
    <row r="3" spans="1:18" ht="28.8" customHeight="1">
      <c r="A3" t="s">
        <v>431</v>
      </c>
      <c r="B3" t="s">
        <v>432</v>
      </c>
      <c r="C3" t="s">
        <v>98</v>
      </c>
      <c r="D3" t="s">
        <v>433</v>
      </c>
      <c r="E3" t="s">
        <v>434</v>
      </c>
      <c r="F3">
        <v>100</v>
      </c>
      <c r="G3">
        <v>0</v>
      </c>
      <c r="H3">
        <v>0</v>
      </c>
      <c r="J3">
        <v>100</v>
      </c>
      <c r="K3">
        <f t="shared" si="0"/>
        <v>25</v>
      </c>
      <c r="L3">
        <f t="shared" si="1"/>
        <v>25</v>
      </c>
      <c r="M3">
        <f t="shared" si="2"/>
        <v>8</v>
      </c>
      <c r="N3" t="s">
        <v>210</v>
      </c>
      <c r="O3" t="s">
        <v>429</v>
      </c>
      <c r="P3" t="s">
        <v>209</v>
      </c>
      <c r="Q3">
        <v>100</v>
      </c>
      <c r="R3" t="s">
        <v>435</v>
      </c>
    </row>
    <row r="4" spans="1:18" ht="28.8" customHeight="1">
      <c r="A4" t="s">
        <v>436</v>
      </c>
      <c r="B4" t="s">
        <v>437</v>
      </c>
      <c r="C4" t="s">
        <v>98</v>
      </c>
      <c r="D4" t="s">
        <v>438</v>
      </c>
      <c r="E4" t="s">
        <v>439</v>
      </c>
      <c r="F4">
        <v>90</v>
      </c>
      <c r="G4">
        <v>0</v>
      </c>
      <c r="H4">
        <v>0</v>
      </c>
      <c r="J4">
        <v>90</v>
      </c>
      <c r="K4">
        <f t="shared" si="0"/>
        <v>23</v>
      </c>
      <c r="L4">
        <f t="shared" si="1"/>
        <v>23</v>
      </c>
      <c r="M4">
        <f t="shared" si="2"/>
        <v>7</v>
      </c>
      <c r="N4" t="s">
        <v>210</v>
      </c>
      <c r="O4" t="s">
        <v>429</v>
      </c>
      <c r="P4" t="s">
        <v>209</v>
      </c>
      <c r="Q4">
        <v>95</v>
      </c>
      <c r="R4" t="s">
        <v>440</v>
      </c>
    </row>
    <row r="5" spans="1:18" ht="28.8" customHeight="1">
      <c r="A5" t="s">
        <v>441</v>
      </c>
      <c r="B5" t="s">
        <v>442</v>
      </c>
      <c r="C5" t="s">
        <v>98</v>
      </c>
      <c r="D5" t="s">
        <v>443</v>
      </c>
      <c r="E5" t="s">
        <v>444</v>
      </c>
      <c r="F5">
        <v>80</v>
      </c>
      <c r="G5">
        <v>0</v>
      </c>
      <c r="H5">
        <v>0</v>
      </c>
      <c r="J5">
        <v>80</v>
      </c>
      <c r="K5">
        <f t="shared" si="0"/>
        <v>20</v>
      </c>
      <c r="L5">
        <f t="shared" si="1"/>
        <v>20</v>
      </c>
      <c r="M5">
        <f t="shared" si="2"/>
        <v>6</v>
      </c>
      <c r="N5" t="s">
        <v>210</v>
      </c>
      <c r="O5" t="s">
        <v>429</v>
      </c>
      <c r="P5" t="s">
        <v>209</v>
      </c>
      <c r="Q5">
        <v>80</v>
      </c>
      <c r="R5" t="s">
        <v>445</v>
      </c>
    </row>
    <row r="6" spans="1:18" ht="28.8" customHeight="1">
      <c r="A6" t="s">
        <v>446</v>
      </c>
      <c r="B6" t="s">
        <v>447</v>
      </c>
      <c r="C6" t="s">
        <v>98</v>
      </c>
      <c r="D6" t="s">
        <v>340</v>
      </c>
      <c r="E6" t="s">
        <v>448</v>
      </c>
      <c r="F6">
        <v>80</v>
      </c>
      <c r="G6">
        <v>0</v>
      </c>
      <c r="H6">
        <v>0</v>
      </c>
      <c r="J6">
        <v>80</v>
      </c>
      <c r="K6">
        <f t="shared" si="0"/>
        <v>20</v>
      </c>
      <c r="L6">
        <f t="shared" si="1"/>
        <v>20</v>
      </c>
      <c r="M6">
        <f t="shared" si="2"/>
        <v>6</v>
      </c>
      <c r="N6" t="s">
        <v>210</v>
      </c>
      <c r="O6" t="s">
        <v>429</v>
      </c>
      <c r="P6" t="s">
        <v>209</v>
      </c>
      <c r="Q6">
        <v>80</v>
      </c>
      <c r="R6" t="s">
        <v>449</v>
      </c>
    </row>
    <row r="7" spans="1:18" ht="28.8" customHeight="1">
      <c r="A7" t="s">
        <v>450</v>
      </c>
      <c r="B7" t="s">
        <v>451</v>
      </c>
      <c r="C7" t="s">
        <v>98</v>
      </c>
      <c r="D7" t="s">
        <v>361</v>
      </c>
      <c r="E7" t="s">
        <v>452</v>
      </c>
      <c r="F7">
        <v>90</v>
      </c>
      <c r="G7">
        <v>0</v>
      </c>
      <c r="H7">
        <v>0</v>
      </c>
      <c r="J7">
        <v>90</v>
      </c>
      <c r="K7">
        <f t="shared" si="0"/>
        <v>23</v>
      </c>
      <c r="L7">
        <f t="shared" si="1"/>
        <v>23</v>
      </c>
      <c r="M7">
        <f t="shared" si="2"/>
        <v>7</v>
      </c>
      <c r="N7" t="s">
        <v>210</v>
      </c>
      <c r="O7" t="s">
        <v>429</v>
      </c>
      <c r="P7" t="s">
        <v>209</v>
      </c>
      <c r="Q7">
        <v>75</v>
      </c>
      <c r="R7" t="s">
        <v>453</v>
      </c>
    </row>
    <row r="8" spans="1:18" ht="28.8" customHeight="1">
      <c r="A8" t="s">
        <v>454</v>
      </c>
      <c r="B8" t="s">
        <v>455</v>
      </c>
      <c r="C8" t="s">
        <v>98</v>
      </c>
      <c r="D8" t="s">
        <v>456</v>
      </c>
      <c r="E8" t="s">
        <v>457</v>
      </c>
      <c r="F8">
        <v>100</v>
      </c>
      <c r="G8">
        <v>0</v>
      </c>
      <c r="H8">
        <v>0</v>
      </c>
      <c r="J8">
        <v>100</v>
      </c>
      <c r="K8">
        <f t="shared" si="0"/>
        <v>25</v>
      </c>
      <c r="L8">
        <f t="shared" si="1"/>
        <v>25</v>
      </c>
      <c r="M8">
        <f t="shared" si="2"/>
        <v>8</v>
      </c>
      <c r="N8" t="s">
        <v>210</v>
      </c>
      <c r="O8" t="s">
        <v>429</v>
      </c>
      <c r="P8" t="s">
        <v>209</v>
      </c>
      <c r="Q8">
        <v>45</v>
      </c>
      <c r="R8" t="s">
        <v>458</v>
      </c>
    </row>
    <row r="9" spans="1:18" ht="28.8" customHeight="1">
      <c r="A9" t="s">
        <v>459</v>
      </c>
      <c r="B9" t="s">
        <v>460</v>
      </c>
      <c r="C9" t="s">
        <v>98</v>
      </c>
      <c r="D9" t="s">
        <v>461</v>
      </c>
      <c r="E9" t="s">
        <v>462</v>
      </c>
      <c r="F9">
        <v>96</v>
      </c>
      <c r="G9">
        <v>0</v>
      </c>
      <c r="H9">
        <v>0</v>
      </c>
      <c r="J9">
        <v>96</v>
      </c>
      <c r="K9">
        <f t="shared" si="0"/>
        <v>24</v>
      </c>
      <c r="L9">
        <f t="shared" si="1"/>
        <v>24</v>
      </c>
      <c r="M9">
        <f t="shared" si="2"/>
        <v>7</v>
      </c>
      <c r="N9" t="s">
        <v>210</v>
      </c>
      <c r="O9" t="s">
        <v>429</v>
      </c>
      <c r="P9" t="s">
        <v>209</v>
      </c>
      <c r="Q9">
        <v>70</v>
      </c>
      <c r="R9" t="s">
        <v>463</v>
      </c>
    </row>
    <row r="10" spans="1:18" ht="28.8" customHeight="1">
      <c r="A10" t="s">
        <v>464</v>
      </c>
      <c r="B10" t="s">
        <v>465</v>
      </c>
      <c r="C10" t="s">
        <v>98</v>
      </c>
      <c r="D10" t="s">
        <v>466</v>
      </c>
      <c r="E10" t="s">
        <v>467</v>
      </c>
      <c r="F10">
        <v>98</v>
      </c>
      <c r="G10">
        <v>0</v>
      </c>
      <c r="H10">
        <v>0</v>
      </c>
      <c r="J10">
        <v>98</v>
      </c>
      <c r="K10">
        <f t="shared" si="0"/>
        <v>25</v>
      </c>
      <c r="L10">
        <f t="shared" si="1"/>
        <v>25</v>
      </c>
      <c r="M10">
        <f t="shared" si="2"/>
        <v>8</v>
      </c>
      <c r="N10" t="s">
        <v>210</v>
      </c>
      <c r="O10" t="s">
        <v>429</v>
      </c>
      <c r="P10" t="s">
        <v>209</v>
      </c>
      <c r="Q10">
        <v>65</v>
      </c>
      <c r="R10" t="s">
        <v>468</v>
      </c>
    </row>
    <row r="11" spans="1:18" ht="28.8" customHeight="1">
      <c r="A11" t="s">
        <v>469</v>
      </c>
      <c r="B11" t="s">
        <v>470</v>
      </c>
      <c r="C11" t="s">
        <v>100</v>
      </c>
      <c r="D11" t="s">
        <v>471</v>
      </c>
      <c r="E11" t="s">
        <v>472</v>
      </c>
      <c r="F11">
        <v>120</v>
      </c>
      <c r="G11">
        <v>0</v>
      </c>
      <c r="H11">
        <v>0</v>
      </c>
      <c r="J11">
        <v>120</v>
      </c>
      <c r="K11">
        <f t="shared" si="0"/>
        <v>30</v>
      </c>
      <c r="L11">
        <f t="shared" si="1"/>
        <v>30</v>
      </c>
      <c r="M11">
        <f t="shared" si="2"/>
        <v>9</v>
      </c>
      <c r="N11" t="s">
        <v>210</v>
      </c>
      <c r="O11" t="s">
        <v>429</v>
      </c>
      <c r="P11" t="s">
        <v>319</v>
      </c>
      <c r="Q11">
        <v>60</v>
      </c>
      <c r="R11" t="s">
        <v>473</v>
      </c>
    </row>
    <row r="12" spans="1:18" ht="28.8" customHeight="1">
      <c r="A12" t="s">
        <v>474</v>
      </c>
      <c r="B12" t="s">
        <v>475</v>
      </c>
      <c r="C12" t="s">
        <v>100</v>
      </c>
      <c r="D12" t="s">
        <v>427</v>
      </c>
      <c r="E12" t="s">
        <v>476</v>
      </c>
      <c r="F12">
        <v>160</v>
      </c>
      <c r="G12">
        <v>0</v>
      </c>
      <c r="H12">
        <v>0</v>
      </c>
      <c r="J12">
        <v>160</v>
      </c>
      <c r="K12">
        <f t="shared" si="0"/>
        <v>40</v>
      </c>
      <c r="L12">
        <f t="shared" si="1"/>
        <v>40</v>
      </c>
      <c r="M12">
        <f t="shared" si="2"/>
        <v>12</v>
      </c>
      <c r="N12" t="s">
        <v>210</v>
      </c>
      <c r="O12" t="s">
        <v>429</v>
      </c>
      <c r="P12" t="s">
        <v>319</v>
      </c>
      <c r="Q12">
        <v>85</v>
      </c>
      <c r="R12" t="s">
        <v>477</v>
      </c>
    </row>
    <row r="13" spans="1:18" ht="28.8" customHeight="1">
      <c r="A13" t="s">
        <v>478</v>
      </c>
      <c r="B13" t="s">
        <v>479</v>
      </c>
      <c r="C13" t="s">
        <v>100</v>
      </c>
      <c r="D13" t="s">
        <v>433</v>
      </c>
      <c r="E13" t="s">
        <v>480</v>
      </c>
      <c r="F13">
        <v>160</v>
      </c>
      <c r="G13">
        <v>0</v>
      </c>
      <c r="H13">
        <v>0</v>
      </c>
      <c r="J13">
        <v>160</v>
      </c>
      <c r="K13">
        <f t="shared" si="0"/>
        <v>40</v>
      </c>
      <c r="L13">
        <f t="shared" si="1"/>
        <v>40</v>
      </c>
      <c r="M13">
        <f t="shared" si="2"/>
        <v>12</v>
      </c>
      <c r="N13" t="s">
        <v>210</v>
      </c>
      <c r="O13" t="s">
        <v>429</v>
      </c>
      <c r="P13" t="s">
        <v>319</v>
      </c>
      <c r="Q13">
        <v>85</v>
      </c>
      <c r="R13" t="s">
        <v>481</v>
      </c>
    </row>
    <row r="14" spans="1:18" ht="28.8" customHeight="1">
      <c r="A14" t="s">
        <v>482</v>
      </c>
      <c r="B14" t="s">
        <v>483</v>
      </c>
      <c r="C14" t="s">
        <v>100</v>
      </c>
      <c r="D14" t="s">
        <v>484</v>
      </c>
      <c r="E14" t="s">
        <v>485</v>
      </c>
      <c r="F14">
        <v>160</v>
      </c>
      <c r="G14">
        <v>0</v>
      </c>
      <c r="H14">
        <v>0</v>
      </c>
      <c r="J14">
        <v>160</v>
      </c>
      <c r="K14">
        <f t="shared" si="0"/>
        <v>40</v>
      </c>
      <c r="L14">
        <f t="shared" si="1"/>
        <v>40</v>
      </c>
      <c r="M14">
        <f t="shared" si="2"/>
        <v>12</v>
      </c>
      <c r="N14" t="s">
        <v>210</v>
      </c>
      <c r="O14" t="s">
        <v>429</v>
      </c>
      <c r="P14" t="s">
        <v>319</v>
      </c>
      <c r="Q14">
        <v>70</v>
      </c>
      <c r="R14" t="s">
        <v>486</v>
      </c>
    </row>
    <row r="15" spans="1:18" ht="28.8" customHeight="1">
      <c r="A15" t="s">
        <v>487</v>
      </c>
      <c r="B15" t="s">
        <v>488</v>
      </c>
      <c r="C15" t="s">
        <v>100</v>
      </c>
      <c r="D15" t="s">
        <v>484</v>
      </c>
      <c r="E15" t="s">
        <v>489</v>
      </c>
      <c r="F15">
        <v>160</v>
      </c>
      <c r="G15">
        <v>0</v>
      </c>
      <c r="H15">
        <v>0</v>
      </c>
      <c r="J15">
        <v>160</v>
      </c>
      <c r="K15">
        <f t="shared" si="0"/>
        <v>40</v>
      </c>
      <c r="L15">
        <f t="shared" si="1"/>
        <v>40</v>
      </c>
      <c r="M15">
        <f t="shared" si="2"/>
        <v>12</v>
      </c>
      <c r="N15" t="s">
        <v>210</v>
      </c>
      <c r="O15" t="s">
        <v>429</v>
      </c>
      <c r="P15" t="s">
        <v>319</v>
      </c>
      <c r="Q15">
        <v>70</v>
      </c>
      <c r="R15" t="s">
        <v>486</v>
      </c>
    </row>
    <row r="16" spans="1:18" ht="28.8" customHeight="1">
      <c r="A16" t="s">
        <v>490</v>
      </c>
      <c r="B16" t="s">
        <v>491</v>
      </c>
      <c r="C16" t="s">
        <v>100</v>
      </c>
      <c r="D16" t="s">
        <v>484</v>
      </c>
      <c r="E16" t="s">
        <v>492</v>
      </c>
      <c r="F16">
        <v>160</v>
      </c>
      <c r="G16">
        <v>0</v>
      </c>
      <c r="H16">
        <v>0</v>
      </c>
      <c r="J16">
        <v>160</v>
      </c>
      <c r="K16">
        <f t="shared" si="0"/>
        <v>40</v>
      </c>
      <c r="L16">
        <f t="shared" si="1"/>
        <v>40</v>
      </c>
      <c r="M16">
        <f t="shared" si="2"/>
        <v>12</v>
      </c>
      <c r="N16" t="s">
        <v>210</v>
      </c>
      <c r="O16" t="s">
        <v>429</v>
      </c>
      <c r="P16" t="s">
        <v>319</v>
      </c>
      <c r="Q16">
        <v>70</v>
      </c>
      <c r="R16" t="s">
        <v>486</v>
      </c>
    </row>
    <row r="17" spans="1:18" ht="28.8" customHeight="1">
      <c r="A17" t="s">
        <v>493</v>
      </c>
      <c r="B17" t="s">
        <v>494</v>
      </c>
      <c r="C17" t="s">
        <v>100</v>
      </c>
      <c r="D17" t="s">
        <v>484</v>
      </c>
      <c r="E17" t="s">
        <v>495</v>
      </c>
      <c r="F17">
        <v>160</v>
      </c>
      <c r="G17">
        <v>0</v>
      </c>
      <c r="H17">
        <v>0</v>
      </c>
      <c r="J17">
        <v>160</v>
      </c>
      <c r="K17">
        <f t="shared" si="0"/>
        <v>40</v>
      </c>
      <c r="L17">
        <f t="shared" si="1"/>
        <v>40</v>
      </c>
      <c r="M17">
        <f t="shared" si="2"/>
        <v>12</v>
      </c>
      <c r="N17" t="s">
        <v>210</v>
      </c>
      <c r="O17" t="s">
        <v>429</v>
      </c>
      <c r="P17" t="s">
        <v>319</v>
      </c>
      <c r="Q17">
        <v>70</v>
      </c>
      <c r="R17" t="s">
        <v>486</v>
      </c>
    </row>
    <row r="18" spans="1:18" ht="28.8" customHeight="1">
      <c r="A18" t="s">
        <v>496</v>
      </c>
      <c r="B18" t="s">
        <v>497</v>
      </c>
      <c r="C18" t="s">
        <v>100</v>
      </c>
      <c r="D18" t="s">
        <v>498</v>
      </c>
      <c r="E18" t="s">
        <v>499</v>
      </c>
      <c r="F18">
        <v>160</v>
      </c>
      <c r="G18">
        <v>0</v>
      </c>
      <c r="H18">
        <v>0</v>
      </c>
      <c r="J18">
        <v>160</v>
      </c>
      <c r="K18">
        <f t="shared" si="0"/>
        <v>40</v>
      </c>
      <c r="L18">
        <f t="shared" si="1"/>
        <v>40</v>
      </c>
      <c r="M18">
        <f t="shared" si="2"/>
        <v>12</v>
      </c>
      <c r="N18" t="s">
        <v>210</v>
      </c>
      <c r="O18" t="s">
        <v>429</v>
      </c>
      <c r="P18" t="s">
        <v>500</v>
      </c>
      <c r="Q18">
        <v>50</v>
      </c>
      <c r="R18" t="s">
        <v>501</v>
      </c>
    </row>
    <row r="19" spans="1:18" ht="28.8" customHeight="1">
      <c r="A19" t="s">
        <v>502</v>
      </c>
      <c r="B19" t="s">
        <v>503</v>
      </c>
      <c r="C19" t="s">
        <v>100</v>
      </c>
      <c r="D19" t="s">
        <v>504</v>
      </c>
      <c r="E19" t="s">
        <v>505</v>
      </c>
      <c r="F19">
        <v>165</v>
      </c>
      <c r="G19">
        <v>0</v>
      </c>
      <c r="H19">
        <v>0</v>
      </c>
      <c r="J19">
        <v>165</v>
      </c>
      <c r="K19">
        <f t="shared" si="0"/>
        <v>41</v>
      </c>
      <c r="L19">
        <f t="shared" si="1"/>
        <v>41</v>
      </c>
      <c r="M19">
        <f t="shared" si="2"/>
        <v>12</v>
      </c>
      <c r="N19" t="s">
        <v>210</v>
      </c>
      <c r="O19" t="s">
        <v>429</v>
      </c>
      <c r="P19" t="s">
        <v>500</v>
      </c>
      <c r="Q19">
        <v>50</v>
      </c>
      <c r="R19" t="s">
        <v>506</v>
      </c>
    </row>
    <row r="20" spans="1:18" ht="28.8" customHeight="1">
      <c r="A20" t="s">
        <v>507</v>
      </c>
      <c r="B20" t="s">
        <v>508</v>
      </c>
      <c r="C20" t="s">
        <v>100</v>
      </c>
      <c r="D20" t="s">
        <v>509</v>
      </c>
      <c r="E20" t="s">
        <v>510</v>
      </c>
      <c r="F20">
        <v>160</v>
      </c>
      <c r="G20">
        <v>0</v>
      </c>
      <c r="H20">
        <v>0</v>
      </c>
      <c r="J20">
        <v>160</v>
      </c>
      <c r="K20">
        <f t="shared" si="0"/>
        <v>40</v>
      </c>
      <c r="L20">
        <f t="shared" si="1"/>
        <v>40</v>
      </c>
      <c r="M20">
        <f t="shared" si="2"/>
        <v>12</v>
      </c>
      <c r="N20" t="s">
        <v>210</v>
      </c>
      <c r="O20" t="s">
        <v>429</v>
      </c>
      <c r="P20" t="s">
        <v>279</v>
      </c>
      <c r="Q20">
        <v>35</v>
      </c>
      <c r="R20" t="s">
        <v>511</v>
      </c>
    </row>
    <row r="21" spans="1:18" ht="28.8" customHeight="1">
      <c r="A21" t="s">
        <v>512</v>
      </c>
      <c r="B21" t="s">
        <v>513</v>
      </c>
      <c r="C21" t="s">
        <v>100</v>
      </c>
      <c r="D21" t="s">
        <v>514</v>
      </c>
      <c r="E21" t="s">
        <v>515</v>
      </c>
      <c r="F21">
        <v>120</v>
      </c>
      <c r="G21">
        <v>0</v>
      </c>
      <c r="H21">
        <v>0</v>
      </c>
      <c r="J21">
        <v>120</v>
      </c>
      <c r="K21">
        <f t="shared" si="0"/>
        <v>30</v>
      </c>
      <c r="L21">
        <f t="shared" si="1"/>
        <v>30</v>
      </c>
      <c r="M21">
        <f t="shared" si="2"/>
        <v>9</v>
      </c>
      <c r="N21" t="s">
        <v>210</v>
      </c>
      <c r="O21" t="s">
        <v>429</v>
      </c>
      <c r="P21" t="s">
        <v>516</v>
      </c>
      <c r="Q21">
        <v>25</v>
      </c>
      <c r="R21" t="s">
        <v>517</v>
      </c>
    </row>
    <row r="22" spans="1:18" ht="28.8" customHeight="1">
      <c r="A22" t="s">
        <v>518</v>
      </c>
      <c r="B22" t="s">
        <v>519</v>
      </c>
      <c r="C22" t="s">
        <v>100</v>
      </c>
      <c r="D22" t="s">
        <v>520</v>
      </c>
      <c r="E22" t="s">
        <v>521</v>
      </c>
      <c r="F22">
        <v>150</v>
      </c>
      <c r="G22">
        <v>0</v>
      </c>
      <c r="H22">
        <v>0</v>
      </c>
      <c r="J22">
        <v>150</v>
      </c>
      <c r="K22">
        <f t="shared" si="0"/>
        <v>38</v>
      </c>
      <c r="L22">
        <f t="shared" si="1"/>
        <v>38</v>
      </c>
      <c r="M22">
        <f t="shared" si="2"/>
        <v>11</v>
      </c>
      <c r="N22" t="s">
        <v>210</v>
      </c>
      <c r="O22" t="s">
        <v>429</v>
      </c>
      <c r="P22" t="s">
        <v>405</v>
      </c>
      <c r="Q22">
        <v>25</v>
      </c>
      <c r="R22" t="s">
        <v>522</v>
      </c>
    </row>
    <row r="23" spans="1:18" ht="28.8" customHeight="1">
      <c r="A23" t="s">
        <v>523</v>
      </c>
      <c r="B23" t="s">
        <v>524</v>
      </c>
      <c r="C23" t="s">
        <v>100</v>
      </c>
      <c r="D23" t="s">
        <v>525</v>
      </c>
      <c r="E23" t="s">
        <v>526</v>
      </c>
      <c r="F23">
        <v>130</v>
      </c>
      <c r="G23">
        <v>0</v>
      </c>
      <c r="H23">
        <v>0</v>
      </c>
      <c r="I23" t="s">
        <v>527</v>
      </c>
      <c r="J23">
        <v>130</v>
      </c>
      <c r="K23">
        <f t="shared" si="0"/>
        <v>33</v>
      </c>
      <c r="L23">
        <f t="shared" si="1"/>
        <v>33</v>
      </c>
      <c r="M23">
        <f t="shared" si="2"/>
        <v>10</v>
      </c>
      <c r="N23" t="s">
        <v>210</v>
      </c>
      <c r="O23" t="s">
        <v>429</v>
      </c>
      <c r="P23" t="s">
        <v>319</v>
      </c>
      <c r="Q23">
        <v>65</v>
      </c>
      <c r="R23" t="s">
        <v>528</v>
      </c>
    </row>
    <row r="24" spans="1:18" ht="28.8" customHeight="1">
      <c r="A24" t="s">
        <v>529</v>
      </c>
      <c r="B24" t="s">
        <v>530</v>
      </c>
      <c r="C24" t="s">
        <v>100</v>
      </c>
      <c r="D24" t="s">
        <v>531</v>
      </c>
      <c r="E24" t="s">
        <v>532</v>
      </c>
      <c r="F24">
        <v>144</v>
      </c>
      <c r="G24">
        <v>0</v>
      </c>
      <c r="H24">
        <v>0</v>
      </c>
      <c r="J24">
        <v>144</v>
      </c>
      <c r="K24">
        <f t="shared" si="0"/>
        <v>36</v>
      </c>
      <c r="L24">
        <f t="shared" si="1"/>
        <v>36</v>
      </c>
      <c r="M24">
        <f t="shared" si="2"/>
        <v>11</v>
      </c>
      <c r="N24" t="s">
        <v>210</v>
      </c>
      <c r="O24" t="s">
        <v>429</v>
      </c>
      <c r="P24" t="s">
        <v>319</v>
      </c>
      <c r="Q24">
        <v>60</v>
      </c>
      <c r="R24" t="s">
        <v>533</v>
      </c>
    </row>
    <row r="25" spans="1:18" ht="28.8" customHeight="1">
      <c r="A25" t="s">
        <v>534</v>
      </c>
      <c r="B25" t="s">
        <v>535</v>
      </c>
      <c r="C25" t="s">
        <v>100</v>
      </c>
      <c r="D25" t="s">
        <v>466</v>
      </c>
      <c r="E25" t="s">
        <v>536</v>
      </c>
      <c r="F25">
        <v>148</v>
      </c>
      <c r="G25">
        <v>0</v>
      </c>
      <c r="H25">
        <v>0</v>
      </c>
      <c r="J25">
        <v>148</v>
      </c>
      <c r="K25">
        <f t="shared" si="0"/>
        <v>37</v>
      </c>
      <c r="L25">
        <f t="shared" si="1"/>
        <v>37</v>
      </c>
      <c r="M25">
        <f t="shared" si="2"/>
        <v>11</v>
      </c>
      <c r="N25" t="s">
        <v>210</v>
      </c>
      <c r="O25" t="s">
        <v>429</v>
      </c>
      <c r="P25" t="s">
        <v>500</v>
      </c>
      <c r="Q25">
        <v>55</v>
      </c>
      <c r="R25" t="s">
        <v>537</v>
      </c>
    </row>
    <row r="26" spans="1:18" ht="28.8" customHeight="1">
      <c r="A26" t="s">
        <v>538</v>
      </c>
      <c r="B26" t="s">
        <v>539</v>
      </c>
      <c r="C26" t="s">
        <v>101</v>
      </c>
      <c r="D26" t="s">
        <v>466</v>
      </c>
      <c r="E26" t="s">
        <v>540</v>
      </c>
      <c r="F26">
        <v>222</v>
      </c>
      <c r="G26">
        <v>0</v>
      </c>
      <c r="H26">
        <v>0</v>
      </c>
      <c r="J26">
        <v>222</v>
      </c>
      <c r="K26">
        <f t="shared" si="0"/>
        <v>56</v>
      </c>
      <c r="L26">
        <f t="shared" si="1"/>
        <v>56</v>
      </c>
      <c r="M26">
        <f t="shared" si="2"/>
        <v>17</v>
      </c>
      <c r="N26" t="s">
        <v>210</v>
      </c>
      <c r="O26" t="s">
        <v>429</v>
      </c>
      <c r="P26" t="s">
        <v>541</v>
      </c>
      <c r="Q26">
        <v>40</v>
      </c>
      <c r="R26" t="s">
        <v>542</v>
      </c>
    </row>
    <row r="27" spans="1:18" ht="28.8" customHeight="1">
      <c r="A27" t="s">
        <v>543</v>
      </c>
      <c r="B27" t="s">
        <v>544</v>
      </c>
      <c r="C27" t="s">
        <v>101</v>
      </c>
      <c r="D27" t="s">
        <v>443</v>
      </c>
      <c r="E27" t="s">
        <v>545</v>
      </c>
      <c r="F27">
        <v>220</v>
      </c>
      <c r="G27">
        <v>0</v>
      </c>
      <c r="H27">
        <v>0</v>
      </c>
      <c r="J27">
        <v>220</v>
      </c>
      <c r="K27">
        <f t="shared" si="0"/>
        <v>55</v>
      </c>
      <c r="L27">
        <f t="shared" si="1"/>
        <v>55</v>
      </c>
      <c r="M27">
        <f t="shared" si="2"/>
        <v>17</v>
      </c>
      <c r="N27" t="s">
        <v>210</v>
      </c>
      <c r="O27" t="s">
        <v>429</v>
      </c>
      <c r="P27" t="s">
        <v>541</v>
      </c>
      <c r="Q27">
        <v>45</v>
      </c>
      <c r="R27" t="s">
        <v>546</v>
      </c>
    </row>
    <row r="28" spans="1:18" ht="28.8" customHeight="1">
      <c r="A28" t="s">
        <v>547</v>
      </c>
      <c r="B28" t="s">
        <v>548</v>
      </c>
      <c r="C28" t="s">
        <v>101</v>
      </c>
      <c r="D28" t="s">
        <v>525</v>
      </c>
      <c r="E28" t="s">
        <v>549</v>
      </c>
      <c r="F28">
        <v>220</v>
      </c>
      <c r="G28">
        <v>0</v>
      </c>
      <c r="H28">
        <v>0</v>
      </c>
      <c r="I28" t="s">
        <v>527</v>
      </c>
      <c r="J28">
        <v>220</v>
      </c>
      <c r="K28">
        <f t="shared" si="0"/>
        <v>55</v>
      </c>
      <c r="L28">
        <f t="shared" si="1"/>
        <v>55</v>
      </c>
      <c r="M28">
        <f t="shared" si="2"/>
        <v>17</v>
      </c>
      <c r="N28" t="s">
        <v>210</v>
      </c>
      <c r="O28" t="s">
        <v>429</v>
      </c>
      <c r="P28" t="s">
        <v>550</v>
      </c>
      <c r="Q28">
        <v>35</v>
      </c>
      <c r="R28" t="s">
        <v>551</v>
      </c>
    </row>
    <row r="29" spans="1:18" ht="28.8" customHeight="1">
      <c r="A29" t="s">
        <v>552</v>
      </c>
      <c r="B29" t="s">
        <v>553</v>
      </c>
      <c r="C29" t="s">
        <v>101</v>
      </c>
      <c r="D29" t="s">
        <v>461</v>
      </c>
      <c r="E29" t="s">
        <v>554</v>
      </c>
      <c r="F29">
        <v>224</v>
      </c>
      <c r="G29">
        <v>0</v>
      </c>
      <c r="H29">
        <v>0</v>
      </c>
      <c r="J29">
        <v>224</v>
      </c>
      <c r="K29">
        <f t="shared" si="0"/>
        <v>56</v>
      </c>
      <c r="L29">
        <f t="shared" si="1"/>
        <v>56</v>
      </c>
      <c r="M29">
        <f t="shared" si="2"/>
        <v>17</v>
      </c>
      <c r="N29" t="s">
        <v>210</v>
      </c>
      <c r="O29" t="s">
        <v>429</v>
      </c>
      <c r="P29" t="s">
        <v>541</v>
      </c>
      <c r="Q29">
        <v>45</v>
      </c>
      <c r="R29" t="s">
        <v>555</v>
      </c>
    </row>
    <row r="30" spans="1:18" ht="28.8" customHeight="1">
      <c r="A30" t="s">
        <v>556</v>
      </c>
      <c r="B30" t="s">
        <v>557</v>
      </c>
      <c r="C30" t="s">
        <v>101</v>
      </c>
      <c r="D30" t="s">
        <v>558</v>
      </c>
      <c r="E30" t="s">
        <v>559</v>
      </c>
      <c r="F30">
        <v>0</v>
      </c>
      <c r="G30">
        <v>0</v>
      </c>
      <c r="H30">
        <v>200</v>
      </c>
      <c r="J30">
        <v>200</v>
      </c>
      <c r="K30">
        <f t="shared" si="0"/>
        <v>50</v>
      </c>
      <c r="L30">
        <f t="shared" si="1"/>
        <v>50</v>
      </c>
      <c r="M30">
        <f t="shared" si="2"/>
        <v>15</v>
      </c>
      <c r="N30" t="s">
        <v>560</v>
      </c>
      <c r="O30" t="s">
        <v>429</v>
      </c>
      <c r="P30" t="s">
        <v>561</v>
      </c>
      <c r="Q30">
        <v>18</v>
      </c>
      <c r="R30" t="s">
        <v>562</v>
      </c>
    </row>
    <row r="31" spans="1:18" ht="28.8" customHeight="1">
      <c r="A31" t="s">
        <v>563</v>
      </c>
      <c r="B31" t="s">
        <v>564</v>
      </c>
      <c r="C31" t="s">
        <v>101</v>
      </c>
      <c r="D31" t="s">
        <v>471</v>
      </c>
      <c r="E31" t="s">
        <v>565</v>
      </c>
      <c r="F31">
        <v>240</v>
      </c>
      <c r="G31">
        <v>0</v>
      </c>
      <c r="H31">
        <v>0</v>
      </c>
      <c r="J31">
        <v>240</v>
      </c>
      <c r="K31">
        <f t="shared" si="0"/>
        <v>60</v>
      </c>
      <c r="L31">
        <f t="shared" si="1"/>
        <v>60</v>
      </c>
      <c r="M31">
        <f t="shared" si="2"/>
        <v>18</v>
      </c>
      <c r="N31" t="s">
        <v>210</v>
      </c>
      <c r="O31" t="s">
        <v>429</v>
      </c>
      <c r="P31" t="s">
        <v>566</v>
      </c>
      <c r="Q31">
        <v>30</v>
      </c>
      <c r="R31" t="s">
        <v>567</v>
      </c>
    </row>
    <row r="32" spans="1:18" ht="28.8" customHeight="1">
      <c r="A32" t="s">
        <v>568</v>
      </c>
      <c r="B32" t="s">
        <v>569</v>
      </c>
      <c r="C32" t="s">
        <v>101</v>
      </c>
      <c r="D32" t="s">
        <v>372</v>
      </c>
      <c r="E32" t="s">
        <v>570</v>
      </c>
      <c r="F32">
        <v>260</v>
      </c>
      <c r="G32">
        <v>0</v>
      </c>
      <c r="H32">
        <v>0</v>
      </c>
      <c r="J32">
        <v>260</v>
      </c>
      <c r="K32">
        <f t="shared" si="0"/>
        <v>65</v>
      </c>
      <c r="L32">
        <f t="shared" si="1"/>
        <v>65</v>
      </c>
      <c r="M32">
        <f t="shared" si="2"/>
        <v>20</v>
      </c>
      <c r="N32" t="s">
        <v>210</v>
      </c>
      <c r="O32" t="s">
        <v>429</v>
      </c>
      <c r="P32" t="s">
        <v>405</v>
      </c>
      <c r="Q32">
        <v>12</v>
      </c>
      <c r="R32" t="s">
        <v>571</v>
      </c>
    </row>
    <row r="33" spans="1:18" ht="28.8" customHeight="1">
      <c r="A33" t="s">
        <v>572</v>
      </c>
      <c r="B33" t="s">
        <v>573</v>
      </c>
      <c r="C33" t="s">
        <v>101</v>
      </c>
      <c r="D33" t="s">
        <v>574</v>
      </c>
      <c r="E33" t="s">
        <v>575</v>
      </c>
      <c r="F33">
        <v>220</v>
      </c>
      <c r="G33">
        <v>0</v>
      </c>
      <c r="H33">
        <v>0</v>
      </c>
      <c r="J33">
        <v>220</v>
      </c>
      <c r="K33">
        <f t="shared" si="0"/>
        <v>55</v>
      </c>
      <c r="L33">
        <f t="shared" si="1"/>
        <v>55</v>
      </c>
      <c r="M33">
        <f t="shared" si="2"/>
        <v>17</v>
      </c>
      <c r="N33" t="s">
        <v>210</v>
      </c>
      <c r="O33" t="s">
        <v>429</v>
      </c>
      <c r="P33" t="s">
        <v>541</v>
      </c>
      <c r="Q33">
        <v>35</v>
      </c>
      <c r="R33" t="s">
        <v>576</v>
      </c>
    </row>
    <row r="34" spans="1:18" ht="28.8" customHeight="1">
      <c r="A34" t="s">
        <v>577</v>
      </c>
      <c r="B34" t="s">
        <v>578</v>
      </c>
      <c r="C34" t="s">
        <v>101</v>
      </c>
      <c r="D34" t="s">
        <v>579</v>
      </c>
      <c r="E34" t="s">
        <v>580</v>
      </c>
      <c r="F34">
        <v>200</v>
      </c>
      <c r="G34">
        <v>0</v>
      </c>
      <c r="H34">
        <v>0</v>
      </c>
      <c r="J34">
        <v>200</v>
      </c>
      <c r="K34">
        <f t="shared" si="0"/>
        <v>50</v>
      </c>
      <c r="L34">
        <f t="shared" si="1"/>
        <v>50</v>
      </c>
      <c r="M34">
        <f t="shared" si="2"/>
        <v>15</v>
      </c>
      <c r="N34" t="s">
        <v>210</v>
      </c>
      <c r="O34" t="s">
        <v>429</v>
      </c>
      <c r="P34" t="s">
        <v>550</v>
      </c>
      <c r="Q34">
        <v>25</v>
      </c>
      <c r="R34" t="s">
        <v>581</v>
      </c>
    </row>
    <row r="35" spans="1:18" ht="28.8" customHeight="1">
      <c r="A35" t="s">
        <v>582</v>
      </c>
      <c r="B35" t="s">
        <v>583</v>
      </c>
      <c r="C35" t="s">
        <v>101</v>
      </c>
      <c r="D35" t="s">
        <v>525</v>
      </c>
      <c r="E35" t="s">
        <v>584</v>
      </c>
      <c r="F35">
        <v>207</v>
      </c>
      <c r="G35">
        <v>0</v>
      </c>
      <c r="H35">
        <v>0</v>
      </c>
      <c r="I35" t="s">
        <v>527</v>
      </c>
      <c r="J35">
        <v>207</v>
      </c>
      <c r="K35">
        <f t="shared" si="0"/>
        <v>52</v>
      </c>
      <c r="L35">
        <f t="shared" si="1"/>
        <v>52</v>
      </c>
      <c r="M35">
        <f t="shared" si="2"/>
        <v>16</v>
      </c>
      <c r="N35" t="s">
        <v>210</v>
      </c>
      <c r="O35" t="s">
        <v>429</v>
      </c>
      <c r="P35" t="s">
        <v>566</v>
      </c>
      <c r="Q35">
        <v>28</v>
      </c>
      <c r="R35" t="s">
        <v>585</v>
      </c>
    </row>
    <row r="36" spans="1:18" ht="28.8" customHeight="1">
      <c r="A36" t="s">
        <v>586</v>
      </c>
      <c r="B36" t="s">
        <v>587</v>
      </c>
      <c r="C36" t="s">
        <v>102</v>
      </c>
      <c r="D36" t="s">
        <v>588</v>
      </c>
      <c r="E36" t="s">
        <v>589</v>
      </c>
      <c r="F36">
        <v>0</v>
      </c>
      <c r="G36">
        <v>0</v>
      </c>
      <c r="H36">
        <v>400</v>
      </c>
      <c r="J36">
        <v>400</v>
      </c>
      <c r="K36">
        <f t="shared" si="0"/>
        <v>100</v>
      </c>
      <c r="L36">
        <f t="shared" si="1"/>
        <v>100</v>
      </c>
      <c r="M36">
        <f t="shared" si="2"/>
        <v>30</v>
      </c>
      <c r="N36" t="s">
        <v>590</v>
      </c>
      <c r="O36" t="s">
        <v>591</v>
      </c>
      <c r="P36" t="s">
        <v>592</v>
      </c>
      <c r="Q36">
        <v>3</v>
      </c>
      <c r="R36" t="s">
        <v>593</v>
      </c>
    </row>
    <row r="37" spans="1:18" ht="28.8" customHeight="1">
      <c r="A37" t="s">
        <v>594</v>
      </c>
      <c r="B37" t="s">
        <v>595</v>
      </c>
      <c r="C37" t="s">
        <v>102</v>
      </c>
      <c r="D37" t="s">
        <v>466</v>
      </c>
      <c r="E37" t="s">
        <v>596</v>
      </c>
      <c r="F37">
        <v>394</v>
      </c>
      <c r="G37">
        <v>0</v>
      </c>
      <c r="H37">
        <v>0</v>
      </c>
      <c r="J37">
        <v>394</v>
      </c>
      <c r="K37">
        <f t="shared" si="0"/>
        <v>99</v>
      </c>
      <c r="L37">
        <f t="shared" si="1"/>
        <v>99</v>
      </c>
      <c r="M37">
        <f t="shared" si="2"/>
        <v>30</v>
      </c>
      <c r="N37" t="s">
        <v>210</v>
      </c>
      <c r="O37" t="s">
        <v>591</v>
      </c>
      <c r="P37" t="s">
        <v>597</v>
      </c>
      <c r="Q37">
        <v>8</v>
      </c>
      <c r="R37" t="s">
        <v>598</v>
      </c>
    </row>
    <row r="38" spans="1:18" ht="28.8" customHeight="1">
      <c r="A38" t="s">
        <v>599</v>
      </c>
      <c r="B38" t="s">
        <v>600</v>
      </c>
      <c r="C38" t="s">
        <v>102</v>
      </c>
      <c r="D38" t="s">
        <v>601</v>
      </c>
      <c r="E38" t="s">
        <v>602</v>
      </c>
      <c r="F38">
        <v>320</v>
      </c>
      <c r="G38">
        <v>0</v>
      </c>
      <c r="H38">
        <v>0</v>
      </c>
      <c r="J38">
        <v>320</v>
      </c>
      <c r="K38">
        <f t="shared" si="0"/>
        <v>80</v>
      </c>
      <c r="L38">
        <f t="shared" si="1"/>
        <v>80</v>
      </c>
      <c r="M38">
        <f t="shared" si="2"/>
        <v>24</v>
      </c>
      <c r="N38" t="s">
        <v>210</v>
      </c>
      <c r="O38" t="s">
        <v>429</v>
      </c>
      <c r="P38" t="s">
        <v>597</v>
      </c>
      <c r="Q38">
        <v>8</v>
      </c>
      <c r="R38" t="s">
        <v>603</v>
      </c>
    </row>
    <row r="39" spans="1:18" ht="28.8" customHeight="1">
      <c r="A39" t="s">
        <v>604</v>
      </c>
      <c r="B39" t="s">
        <v>605</v>
      </c>
      <c r="C39" t="s">
        <v>102</v>
      </c>
      <c r="D39" t="s">
        <v>427</v>
      </c>
      <c r="E39" t="s">
        <v>606</v>
      </c>
      <c r="F39">
        <v>380</v>
      </c>
      <c r="G39">
        <v>0</v>
      </c>
      <c r="H39">
        <v>0</v>
      </c>
      <c r="J39">
        <v>380</v>
      </c>
      <c r="K39">
        <f t="shared" si="0"/>
        <v>95</v>
      </c>
      <c r="L39">
        <f t="shared" si="1"/>
        <v>95</v>
      </c>
      <c r="M39">
        <f t="shared" si="2"/>
        <v>29</v>
      </c>
      <c r="N39" t="s">
        <v>210</v>
      </c>
      <c r="O39" t="s">
        <v>591</v>
      </c>
      <c r="P39" t="s">
        <v>597</v>
      </c>
      <c r="Q39">
        <v>8</v>
      </c>
      <c r="R39" t="s">
        <v>607</v>
      </c>
    </row>
    <row r="40" spans="1:18" ht="28.8" customHeight="1">
      <c r="A40" t="s">
        <v>608</v>
      </c>
      <c r="B40" t="s">
        <v>609</v>
      </c>
      <c r="C40" t="s">
        <v>102</v>
      </c>
      <c r="D40" t="s">
        <v>610</v>
      </c>
      <c r="E40" t="s">
        <v>611</v>
      </c>
      <c r="F40">
        <v>0</v>
      </c>
      <c r="G40">
        <v>0</v>
      </c>
      <c r="H40">
        <v>400</v>
      </c>
      <c r="J40">
        <v>400</v>
      </c>
      <c r="K40">
        <f t="shared" si="0"/>
        <v>100</v>
      </c>
      <c r="L40">
        <f t="shared" si="1"/>
        <v>100</v>
      </c>
      <c r="M40">
        <f t="shared" si="2"/>
        <v>30</v>
      </c>
      <c r="N40" t="s">
        <v>612</v>
      </c>
      <c r="O40" t="s">
        <v>591</v>
      </c>
      <c r="P40" t="s">
        <v>613</v>
      </c>
      <c r="Q40">
        <v>5</v>
      </c>
      <c r="R40" t="s">
        <v>614</v>
      </c>
    </row>
    <row r="41" spans="1:18" ht="28.8" customHeight="1">
      <c r="A41" t="s">
        <v>615</v>
      </c>
      <c r="B41" t="s">
        <v>616</v>
      </c>
      <c r="C41" t="s">
        <v>102</v>
      </c>
      <c r="D41" t="s">
        <v>525</v>
      </c>
      <c r="E41" t="s">
        <v>617</v>
      </c>
      <c r="F41">
        <v>445</v>
      </c>
      <c r="G41">
        <v>0</v>
      </c>
      <c r="H41">
        <v>0</v>
      </c>
      <c r="I41" t="s">
        <v>527</v>
      </c>
      <c r="J41">
        <v>445</v>
      </c>
      <c r="K41">
        <f t="shared" si="0"/>
        <v>111</v>
      </c>
      <c r="L41">
        <f t="shared" si="1"/>
        <v>111</v>
      </c>
      <c r="M41">
        <f t="shared" si="2"/>
        <v>33</v>
      </c>
      <c r="N41" t="s">
        <v>210</v>
      </c>
      <c r="O41" t="s">
        <v>591</v>
      </c>
      <c r="P41" t="s">
        <v>597</v>
      </c>
      <c r="Q41">
        <v>6</v>
      </c>
      <c r="R41" t="s">
        <v>618</v>
      </c>
    </row>
  </sheetData>
  <phoneticPr fontId="4" type="noConversion"/>
  <dataValidations count="1">
    <dataValidation type="list" showInputMessage="1" showErrorMessage="1" sqref="C2:C33" xr:uid="{00000000-0002-0000-0400-000000000000}">
      <formula1>"Common,Rare,Epic,Legendary"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1" customWidth="1"/>
    <col min="2" max="11" width="10" customWidth="1"/>
    <col min="12" max="12" width="33" customWidth="1"/>
  </cols>
  <sheetData>
    <row r="1" spans="1:12" ht="30" customHeight="1">
      <c r="A1" s="1" t="s">
        <v>619</v>
      </c>
      <c r="B1" s="1" t="s">
        <v>1</v>
      </c>
      <c r="C1" s="1" t="s">
        <v>414</v>
      </c>
      <c r="D1" s="1" t="s">
        <v>620</v>
      </c>
      <c r="E1" s="1" t="s">
        <v>621</v>
      </c>
      <c r="F1" s="1" t="s">
        <v>2</v>
      </c>
      <c r="G1" s="1" t="s">
        <v>622</v>
      </c>
      <c r="H1" s="1" t="s">
        <v>202</v>
      </c>
      <c r="I1" s="1" t="s">
        <v>623</v>
      </c>
      <c r="J1" s="1" t="s">
        <v>624</v>
      </c>
      <c r="K1" s="1" t="s">
        <v>625</v>
      </c>
      <c r="L1" s="1" t="s">
        <v>18</v>
      </c>
    </row>
    <row r="2" spans="1:12" ht="28.8" customHeight="1">
      <c r="A2" s="2" t="s">
        <v>626</v>
      </c>
      <c r="B2" s="2" t="s">
        <v>627</v>
      </c>
      <c r="C2" s="2" t="s">
        <v>628</v>
      </c>
      <c r="D2" s="2" t="s">
        <v>629</v>
      </c>
      <c r="E2" s="2" t="s">
        <v>630</v>
      </c>
      <c r="F2" s="2" t="s">
        <v>631</v>
      </c>
      <c r="G2" s="2" t="s">
        <v>209</v>
      </c>
      <c r="H2" s="3">
        <v>80</v>
      </c>
      <c r="I2" s="3">
        <v>25</v>
      </c>
      <c r="J2" s="3">
        <v>100</v>
      </c>
      <c r="K2" s="3">
        <v>0</v>
      </c>
      <c r="L2" s="2" t="s">
        <v>632</v>
      </c>
    </row>
    <row r="3" spans="1:12" ht="28.8" customHeight="1">
      <c r="A3" s="2" t="s">
        <v>633</v>
      </c>
      <c r="B3" s="2" t="s">
        <v>634</v>
      </c>
      <c r="C3" s="2" t="s">
        <v>628</v>
      </c>
      <c r="D3" s="2" t="s">
        <v>635</v>
      </c>
      <c r="E3" s="2" t="s">
        <v>636</v>
      </c>
      <c r="F3" s="2" t="s">
        <v>637</v>
      </c>
      <c r="G3" s="2" t="s">
        <v>209</v>
      </c>
      <c r="H3" s="3">
        <v>85</v>
      </c>
      <c r="I3" s="3">
        <v>25</v>
      </c>
      <c r="J3" s="3">
        <v>100</v>
      </c>
      <c r="K3" s="3">
        <v>0</v>
      </c>
      <c r="L3" s="2" t="s">
        <v>638</v>
      </c>
    </row>
    <row r="4" spans="1:12" ht="28.8" customHeight="1">
      <c r="A4" s="2" t="s">
        <v>639</v>
      </c>
      <c r="B4" s="2" t="s">
        <v>640</v>
      </c>
      <c r="C4" s="2" t="s">
        <v>628</v>
      </c>
      <c r="D4" s="2" t="s">
        <v>641</v>
      </c>
      <c r="E4" s="2" t="s">
        <v>636</v>
      </c>
      <c r="F4" s="2" t="s">
        <v>642</v>
      </c>
      <c r="G4" s="2" t="s">
        <v>209</v>
      </c>
      <c r="H4" s="3">
        <v>70</v>
      </c>
      <c r="I4" s="3">
        <v>28</v>
      </c>
      <c r="J4" s="3">
        <v>112</v>
      </c>
      <c r="K4" s="3">
        <v>0</v>
      </c>
      <c r="L4" s="2" t="s">
        <v>643</v>
      </c>
    </row>
    <row r="5" spans="1:12" ht="28.8" customHeight="1">
      <c r="A5" s="2" t="s">
        <v>644</v>
      </c>
      <c r="B5" s="2" t="s">
        <v>645</v>
      </c>
      <c r="C5" s="2" t="s">
        <v>646</v>
      </c>
      <c r="D5" s="2" t="s">
        <v>647</v>
      </c>
      <c r="E5" s="2" t="s">
        <v>648</v>
      </c>
      <c r="F5" s="2" t="s">
        <v>649</v>
      </c>
      <c r="G5" s="2" t="s">
        <v>319</v>
      </c>
      <c r="H5" s="3">
        <v>45</v>
      </c>
      <c r="I5" s="3">
        <v>38</v>
      </c>
      <c r="J5" s="3">
        <v>152</v>
      </c>
      <c r="K5" s="3">
        <v>0</v>
      </c>
      <c r="L5" s="2" t="s">
        <v>650</v>
      </c>
    </row>
    <row r="6" spans="1:12" ht="28.8" customHeight="1">
      <c r="A6" s="2" t="s">
        <v>651</v>
      </c>
      <c r="B6" s="2" t="s">
        <v>652</v>
      </c>
      <c r="C6" s="2" t="s">
        <v>646</v>
      </c>
      <c r="D6" s="2" t="s">
        <v>647</v>
      </c>
      <c r="E6" s="2" t="s">
        <v>653</v>
      </c>
      <c r="F6" s="2" t="s">
        <v>654</v>
      </c>
      <c r="G6" s="2" t="s">
        <v>500</v>
      </c>
      <c r="H6" s="3">
        <v>35</v>
      </c>
      <c r="I6" s="3">
        <v>40</v>
      </c>
      <c r="J6" s="3">
        <v>160</v>
      </c>
      <c r="K6" s="3">
        <v>0</v>
      </c>
      <c r="L6" s="2" t="s">
        <v>655</v>
      </c>
    </row>
    <row r="7" spans="1:12" ht="28.8" customHeight="1">
      <c r="A7" s="2" t="s">
        <v>656</v>
      </c>
      <c r="B7" s="2" t="s">
        <v>657</v>
      </c>
      <c r="C7" s="2" t="s">
        <v>628</v>
      </c>
      <c r="D7" s="2" t="s">
        <v>635</v>
      </c>
      <c r="E7" s="2" t="s">
        <v>658</v>
      </c>
      <c r="F7" s="2" t="s">
        <v>659</v>
      </c>
      <c r="G7" s="2" t="s">
        <v>268</v>
      </c>
      <c r="H7" s="3">
        <v>65</v>
      </c>
      <c r="I7" s="3">
        <v>24</v>
      </c>
      <c r="J7" s="3">
        <v>96</v>
      </c>
      <c r="K7" s="3">
        <v>0</v>
      </c>
      <c r="L7" s="2" t="s">
        <v>660</v>
      </c>
    </row>
    <row r="8" spans="1:12" ht="28.8" customHeight="1">
      <c r="A8" s="2" t="s">
        <v>661</v>
      </c>
      <c r="B8" s="2" t="s">
        <v>662</v>
      </c>
      <c r="C8" s="2" t="s">
        <v>628</v>
      </c>
      <c r="D8" s="2" t="s">
        <v>641</v>
      </c>
      <c r="E8" s="2" t="s">
        <v>648</v>
      </c>
      <c r="F8" s="2" t="s">
        <v>663</v>
      </c>
      <c r="G8" s="2" t="s">
        <v>209</v>
      </c>
      <c r="H8" s="3">
        <v>70</v>
      </c>
      <c r="I8" s="3">
        <v>26</v>
      </c>
      <c r="J8" s="3">
        <v>104</v>
      </c>
      <c r="K8" s="3">
        <v>0</v>
      </c>
      <c r="L8" s="2" t="s">
        <v>664</v>
      </c>
    </row>
    <row r="9" spans="1:12" ht="28.8" customHeight="1">
      <c r="A9" s="2" t="s">
        <v>665</v>
      </c>
      <c r="B9" s="2" t="s">
        <v>666</v>
      </c>
      <c r="C9" s="2" t="s">
        <v>646</v>
      </c>
      <c r="D9" s="2" t="s">
        <v>629</v>
      </c>
      <c r="E9" s="2" t="s">
        <v>630</v>
      </c>
      <c r="F9" s="2" t="s">
        <v>667</v>
      </c>
      <c r="G9" s="2" t="s">
        <v>279</v>
      </c>
      <c r="H9" s="3">
        <v>35</v>
      </c>
      <c r="I9" s="3">
        <v>42</v>
      </c>
      <c r="J9" s="3">
        <v>168</v>
      </c>
      <c r="K9" s="3">
        <v>0</v>
      </c>
      <c r="L9" s="2" t="s">
        <v>668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1" customWidth="1"/>
    <col min="2" max="3" width="10" customWidth="1"/>
    <col min="4" max="4" width="13" customWidth="1"/>
    <col min="5" max="5" width="16" customWidth="1"/>
    <col min="6" max="6" width="17" customWidth="1"/>
    <col min="7" max="7" width="10" customWidth="1"/>
    <col min="8" max="8" width="11" customWidth="1"/>
    <col min="9" max="9" width="12" customWidth="1"/>
    <col min="10" max="10" width="13" customWidth="1"/>
    <col min="11" max="11" width="12" customWidth="1"/>
    <col min="12" max="12" width="13" customWidth="1"/>
    <col min="13" max="13" width="34" customWidth="1"/>
    <col min="14" max="14" width="17" customWidth="1"/>
    <col min="15" max="15" width="34" customWidth="1"/>
    <col min="16" max="18" width="10" customWidth="1"/>
    <col min="19" max="19" width="18" customWidth="1"/>
    <col min="20" max="20" width="10" customWidth="1"/>
    <col min="21" max="21" width="34" customWidth="1"/>
    <col min="22" max="22" width="10" customWidth="1"/>
    <col min="23" max="23" width="12" customWidth="1"/>
  </cols>
  <sheetData>
    <row r="1" spans="1:23" ht="30" customHeight="1">
      <c r="A1" s="1" t="s">
        <v>619</v>
      </c>
      <c r="B1" s="1" t="s">
        <v>669</v>
      </c>
      <c r="C1" s="1" t="s">
        <v>4</v>
      </c>
      <c r="D1" s="1" t="s">
        <v>5</v>
      </c>
      <c r="E1" s="1" t="s">
        <v>134</v>
      </c>
      <c r="F1" s="1" t="s">
        <v>137</v>
      </c>
      <c r="G1" s="1" t="s">
        <v>670</v>
      </c>
      <c r="H1" s="1" t="s">
        <v>671</v>
      </c>
      <c r="I1" s="1" t="s">
        <v>672</v>
      </c>
      <c r="J1" s="1" t="s">
        <v>673</v>
      </c>
      <c r="K1" s="1" t="s">
        <v>674</v>
      </c>
      <c r="L1" s="1" t="s">
        <v>675</v>
      </c>
      <c r="M1" s="1" t="s">
        <v>676</v>
      </c>
      <c r="N1" s="1" t="s">
        <v>677</v>
      </c>
      <c r="O1" s="1" t="s">
        <v>678</v>
      </c>
      <c r="P1" s="1" t="s">
        <v>679</v>
      </c>
      <c r="Q1" s="1" t="s">
        <v>680</v>
      </c>
      <c r="R1" s="1" t="s">
        <v>681</v>
      </c>
      <c r="S1" s="1" t="s">
        <v>682</v>
      </c>
      <c r="T1" s="1" t="s">
        <v>683</v>
      </c>
      <c r="U1" s="1" t="s">
        <v>684</v>
      </c>
      <c r="V1" s="1" t="s">
        <v>685</v>
      </c>
      <c r="W1" s="1" t="s">
        <v>18</v>
      </c>
    </row>
    <row r="2" spans="1:23" ht="43.2" customHeight="1">
      <c r="A2" s="2" t="s">
        <v>626</v>
      </c>
      <c r="B2" s="3">
        <v>1</v>
      </c>
      <c r="C2" s="3">
        <v>36</v>
      </c>
      <c r="D2" s="3">
        <v>55</v>
      </c>
      <c r="E2" s="3">
        <v>0</v>
      </c>
      <c r="F2" s="3">
        <v>160</v>
      </c>
      <c r="G2" s="3">
        <v>150</v>
      </c>
      <c r="H2" s="3">
        <v>18</v>
      </c>
      <c r="I2" s="3">
        <v>80</v>
      </c>
      <c r="J2" s="3">
        <v>0</v>
      </c>
      <c r="K2" s="3">
        <v>0</v>
      </c>
      <c r="L2" s="3">
        <v>0</v>
      </c>
      <c r="M2" s="2" t="s">
        <v>686</v>
      </c>
      <c r="N2" s="2" t="s">
        <v>687</v>
      </c>
      <c r="O2" s="2">
        <f t="shared" ref="O2:O33" si="0">C2*(D2/100)*(1+E2/100*MAX(0,F2/100-1))</f>
        <v>19.8</v>
      </c>
      <c r="P2" s="3">
        <v>1</v>
      </c>
      <c r="Q2" s="3">
        <v>1</v>
      </c>
      <c r="R2" s="3">
        <v>1</v>
      </c>
      <c r="S2" s="2">
        <f t="shared" ref="S2:S33" si="1">O2*P2*Q2*R2</f>
        <v>19.8</v>
      </c>
      <c r="T2" s="3">
        <v>1</v>
      </c>
      <c r="U2" s="2">
        <f>ROUND(VLOOKUP(A2,'04_武器主表'!$A:$I,9,FALSE)*T2,0)</f>
        <v>25</v>
      </c>
      <c r="V2" s="2">
        <f>U2-ROUND(VLOOKUP(A2,'04_武器主表'!$A:$J,10,FALSE)/4*T2,0)</f>
        <v>0</v>
      </c>
      <c r="W2" s="2" t="s">
        <v>688</v>
      </c>
    </row>
    <row r="3" spans="1:23" ht="43.2" customHeight="1">
      <c r="A3" s="2" t="s">
        <v>626</v>
      </c>
      <c r="B3" s="3">
        <v>2</v>
      </c>
      <c r="C3" s="3">
        <v>52</v>
      </c>
      <c r="D3" s="3">
        <v>58</v>
      </c>
      <c r="E3" s="3">
        <v>0</v>
      </c>
      <c r="F3" s="3">
        <v>165</v>
      </c>
      <c r="G3" s="3">
        <v>165</v>
      </c>
      <c r="H3" s="3">
        <v>22</v>
      </c>
      <c r="I3" s="3">
        <v>90</v>
      </c>
      <c r="J3" s="3">
        <v>0</v>
      </c>
      <c r="K3" s="3">
        <v>0</v>
      </c>
      <c r="L3" s="3">
        <v>0</v>
      </c>
      <c r="M3" s="2" t="s">
        <v>689</v>
      </c>
      <c r="N3" s="2" t="s">
        <v>687</v>
      </c>
      <c r="O3" s="2">
        <f t="shared" si="0"/>
        <v>30.159999999999997</v>
      </c>
      <c r="P3" s="3">
        <v>1.06</v>
      </c>
      <c r="Q3" s="3">
        <v>1</v>
      </c>
      <c r="R3" s="3">
        <v>1.02</v>
      </c>
      <c r="S3" s="2">
        <f t="shared" si="1"/>
        <v>32.608991999999994</v>
      </c>
      <c r="T3" s="3">
        <v>1.6</v>
      </c>
      <c r="U3" s="2">
        <f>ROUND(VLOOKUP(A3,'04_武器主表'!$A:$I,9,FALSE)*T3,0)</f>
        <v>40</v>
      </c>
      <c r="V3" s="2">
        <f>U3-ROUND(VLOOKUP(A3,'04_武器主表'!$A:$J,10,FALSE)/4*T3,0)</f>
        <v>0</v>
      </c>
      <c r="W3" s="2" t="s">
        <v>690</v>
      </c>
    </row>
    <row r="4" spans="1:23" ht="43.2" customHeight="1">
      <c r="A4" s="2" t="s">
        <v>626</v>
      </c>
      <c r="B4" s="3">
        <v>3</v>
      </c>
      <c r="C4" s="3">
        <v>72</v>
      </c>
      <c r="D4" s="3">
        <v>62</v>
      </c>
      <c r="E4" s="3">
        <v>2</v>
      </c>
      <c r="F4" s="3">
        <v>170</v>
      </c>
      <c r="G4" s="3">
        <v>180</v>
      </c>
      <c r="H4" s="3">
        <v>26</v>
      </c>
      <c r="I4" s="3">
        <v>100</v>
      </c>
      <c r="J4" s="3">
        <v>0</v>
      </c>
      <c r="K4" s="3">
        <v>0</v>
      </c>
      <c r="L4" s="3">
        <v>0</v>
      </c>
      <c r="M4" s="2" t="s">
        <v>691</v>
      </c>
      <c r="N4" s="2" t="s">
        <v>687</v>
      </c>
      <c r="O4" s="2">
        <f t="shared" si="0"/>
        <v>45.264960000000002</v>
      </c>
      <c r="P4" s="3">
        <v>1.1200000000000001</v>
      </c>
      <c r="Q4" s="3">
        <v>1</v>
      </c>
      <c r="R4" s="3">
        <v>1.03</v>
      </c>
      <c r="S4" s="2">
        <f t="shared" si="1"/>
        <v>52.21765785600001</v>
      </c>
      <c r="T4" s="3">
        <v>3.6</v>
      </c>
      <c r="U4" s="2">
        <f>ROUND(VLOOKUP(A4,'04_武器主表'!$A:$I,9,FALSE)*T4,0)</f>
        <v>90</v>
      </c>
      <c r="V4" s="2">
        <f>U4-ROUND(VLOOKUP(A4,'04_武器主表'!$A:$J,10,FALSE)/4*T4,0)</f>
        <v>0</v>
      </c>
      <c r="W4" s="2" t="s">
        <v>692</v>
      </c>
    </row>
    <row r="5" spans="1:23" ht="43.2" customHeight="1">
      <c r="A5" s="2" t="s">
        <v>626</v>
      </c>
      <c r="B5" s="3">
        <v>4</v>
      </c>
      <c r="C5" s="3">
        <v>102</v>
      </c>
      <c r="D5" s="3">
        <v>66</v>
      </c>
      <c r="E5" s="3">
        <v>4</v>
      </c>
      <c r="F5" s="3">
        <v>180</v>
      </c>
      <c r="G5" s="3">
        <v>205</v>
      </c>
      <c r="H5" s="3">
        <v>32</v>
      </c>
      <c r="I5" s="3">
        <v>110</v>
      </c>
      <c r="J5" s="3">
        <v>0</v>
      </c>
      <c r="K5" s="3">
        <v>0</v>
      </c>
      <c r="L5" s="3">
        <v>0</v>
      </c>
      <c r="M5" s="2" t="s">
        <v>693</v>
      </c>
      <c r="N5" s="2" t="s">
        <v>687</v>
      </c>
      <c r="O5" s="2">
        <f t="shared" si="0"/>
        <v>69.474240000000009</v>
      </c>
      <c r="P5" s="3">
        <v>1.2</v>
      </c>
      <c r="Q5" s="3">
        <v>1</v>
      </c>
      <c r="R5" s="3">
        <v>1.05</v>
      </c>
      <c r="S5" s="2">
        <f t="shared" si="1"/>
        <v>87.537542400000007</v>
      </c>
      <c r="T5" s="3">
        <v>7.2</v>
      </c>
      <c r="U5" s="2">
        <f>ROUND(VLOOKUP(A5,'04_武器主表'!$A:$I,9,FALSE)*T5,0)</f>
        <v>180</v>
      </c>
      <c r="V5" s="2">
        <f>U5-ROUND(VLOOKUP(A5,'04_武器主表'!$A:$J,10,FALSE)/4*T5,0)</f>
        <v>0</v>
      </c>
      <c r="W5" s="2" t="s">
        <v>694</v>
      </c>
    </row>
    <row r="6" spans="1:23" ht="43.2" customHeight="1">
      <c r="A6" s="2" t="s">
        <v>633</v>
      </c>
      <c r="B6" s="3">
        <v>1</v>
      </c>
      <c r="C6" s="3">
        <v>9</v>
      </c>
      <c r="D6" s="3">
        <v>210</v>
      </c>
      <c r="E6" s="3">
        <v>2</v>
      </c>
      <c r="F6" s="3">
        <v>150</v>
      </c>
      <c r="G6" s="3">
        <v>650</v>
      </c>
      <c r="H6" s="3">
        <v>2</v>
      </c>
      <c r="I6" s="3">
        <v>0</v>
      </c>
      <c r="J6" s="3">
        <v>100</v>
      </c>
      <c r="K6" s="3">
        <v>0</v>
      </c>
      <c r="L6" s="3">
        <v>0</v>
      </c>
      <c r="M6" s="2" t="s">
        <v>695</v>
      </c>
      <c r="N6" s="2" t="s">
        <v>687</v>
      </c>
      <c r="O6" s="2">
        <f t="shared" si="0"/>
        <v>19.089000000000002</v>
      </c>
      <c r="P6" s="3">
        <v>1</v>
      </c>
      <c r="Q6" s="3">
        <v>1</v>
      </c>
      <c r="R6" s="3">
        <v>1</v>
      </c>
      <c r="S6" s="2">
        <f t="shared" si="1"/>
        <v>19.089000000000002</v>
      </c>
      <c r="T6" s="3">
        <v>1</v>
      </c>
      <c r="U6" s="2">
        <f>ROUND(VLOOKUP(A6,'04_武器主表'!$A:$I,9,FALSE)*T6,0)</f>
        <v>25</v>
      </c>
      <c r="V6" s="2">
        <f>U6-ROUND(VLOOKUP(A6,'04_武器主表'!$A:$J,10,FALSE)/4*T6,0)</f>
        <v>0</v>
      </c>
      <c r="W6" s="2" t="s">
        <v>696</v>
      </c>
    </row>
    <row r="7" spans="1:23" ht="43.2" customHeight="1">
      <c r="A7" s="2" t="s">
        <v>633</v>
      </c>
      <c r="B7" s="3">
        <v>2</v>
      </c>
      <c r="C7" s="3">
        <v>11</v>
      </c>
      <c r="D7" s="3">
        <v>250</v>
      </c>
      <c r="E7" s="3">
        <v>2</v>
      </c>
      <c r="F7" s="3">
        <v>150</v>
      </c>
      <c r="G7" s="3">
        <v>680</v>
      </c>
      <c r="H7" s="3">
        <v>2</v>
      </c>
      <c r="I7" s="3">
        <v>0</v>
      </c>
      <c r="J7" s="3">
        <v>110</v>
      </c>
      <c r="K7" s="3">
        <v>0</v>
      </c>
      <c r="L7" s="3">
        <v>0</v>
      </c>
      <c r="M7" s="2" t="s">
        <v>697</v>
      </c>
      <c r="N7" s="2" t="s">
        <v>687</v>
      </c>
      <c r="O7" s="2">
        <f t="shared" si="0"/>
        <v>27.774999999999999</v>
      </c>
      <c r="P7" s="3">
        <v>1.1000000000000001</v>
      </c>
      <c r="Q7" s="3">
        <v>1</v>
      </c>
      <c r="R7" s="3">
        <v>1</v>
      </c>
      <c r="S7" s="2">
        <f t="shared" si="1"/>
        <v>30.552500000000002</v>
      </c>
      <c r="T7" s="3">
        <v>1.6</v>
      </c>
      <c r="U7" s="2">
        <f>ROUND(VLOOKUP(A7,'04_武器主表'!$A:$I,9,FALSE)*T7,0)</f>
        <v>40</v>
      </c>
      <c r="V7" s="2">
        <f>U7-ROUND(VLOOKUP(A7,'04_武器主表'!$A:$J,10,FALSE)/4*T7,0)</f>
        <v>0</v>
      </c>
      <c r="W7" s="2" t="s">
        <v>698</v>
      </c>
    </row>
    <row r="8" spans="1:23" ht="43.2" customHeight="1">
      <c r="A8" s="2" t="s">
        <v>633</v>
      </c>
      <c r="B8" s="3">
        <v>3</v>
      </c>
      <c r="C8" s="3">
        <v>14</v>
      </c>
      <c r="D8" s="3">
        <v>295</v>
      </c>
      <c r="E8" s="3">
        <v>3</v>
      </c>
      <c r="F8" s="3">
        <v>155</v>
      </c>
      <c r="G8" s="3">
        <v>710</v>
      </c>
      <c r="H8" s="3">
        <v>3</v>
      </c>
      <c r="I8" s="3">
        <v>0</v>
      </c>
      <c r="J8" s="3">
        <v>120</v>
      </c>
      <c r="K8" s="3">
        <v>0</v>
      </c>
      <c r="L8" s="3">
        <v>0</v>
      </c>
      <c r="M8" s="2" t="s">
        <v>699</v>
      </c>
      <c r="N8" s="2" t="s">
        <v>687</v>
      </c>
      <c r="O8" s="2">
        <f t="shared" si="0"/>
        <v>41.981450000000002</v>
      </c>
      <c r="P8" s="3">
        <v>1.18</v>
      </c>
      <c r="Q8" s="3">
        <v>1</v>
      </c>
      <c r="R8" s="3">
        <v>1</v>
      </c>
      <c r="S8" s="2">
        <f t="shared" si="1"/>
        <v>49.538111000000001</v>
      </c>
      <c r="T8" s="3">
        <v>3.6</v>
      </c>
      <c r="U8" s="2">
        <f>ROUND(VLOOKUP(A8,'04_武器主表'!$A:$I,9,FALSE)*T8,0)</f>
        <v>90</v>
      </c>
      <c r="V8" s="2">
        <f>U8-ROUND(VLOOKUP(A8,'04_武器主表'!$A:$J,10,FALSE)/4*T8,0)</f>
        <v>0</v>
      </c>
      <c r="W8" s="2" t="s">
        <v>700</v>
      </c>
    </row>
    <row r="9" spans="1:23" ht="43.2" customHeight="1">
      <c r="A9" s="2" t="s">
        <v>633</v>
      </c>
      <c r="B9" s="3">
        <v>4</v>
      </c>
      <c r="C9" s="3">
        <v>18</v>
      </c>
      <c r="D9" s="3">
        <v>350</v>
      </c>
      <c r="E9" s="3">
        <v>4</v>
      </c>
      <c r="F9" s="3">
        <v>160</v>
      </c>
      <c r="G9" s="3">
        <v>750</v>
      </c>
      <c r="H9" s="3">
        <v>3</v>
      </c>
      <c r="I9" s="3">
        <v>0</v>
      </c>
      <c r="J9" s="3">
        <v>135</v>
      </c>
      <c r="K9" s="3">
        <v>0</v>
      </c>
      <c r="L9" s="3">
        <v>0</v>
      </c>
      <c r="M9" s="2" t="s">
        <v>701</v>
      </c>
      <c r="N9" s="2" t="s">
        <v>687</v>
      </c>
      <c r="O9" s="2">
        <f t="shared" si="0"/>
        <v>64.512</v>
      </c>
      <c r="P9" s="3">
        <v>1.25</v>
      </c>
      <c r="Q9" s="3">
        <v>1</v>
      </c>
      <c r="R9" s="3">
        <v>1</v>
      </c>
      <c r="S9" s="2">
        <f t="shared" si="1"/>
        <v>80.64</v>
      </c>
      <c r="T9" s="3">
        <v>7.2</v>
      </c>
      <c r="U9" s="2">
        <f>ROUND(VLOOKUP(A9,'04_武器主表'!$A:$I,9,FALSE)*T9,0)</f>
        <v>180</v>
      </c>
      <c r="V9" s="2">
        <f>U9-ROUND(VLOOKUP(A9,'04_武器主表'!$A:$J,10,FALSE)/4*T9,0)</f>
        <v>0</v>
      </c>
      <c r="W9" s="2" t="s">
        <v>702</v>
      </c>
    </row>
    <row r="10" spans="1:23" ht="43.2" customHeight="1">
      <c r="A10" s="2" t="s">
        <v>639</v>
      </c>
      <c r="B10" s="3">
        <v>1</v>
      </c>
      <c r="C10" s="3">
        <v>28</v>
      </c>
      <c r="D10" s="3">
        <v>80</v>
      </c>
      <c r="E10" s="3">
        <v>10</v>
      </c>
      <c r="F10" s="3">
        <v>180</v>
      </c>
      <c r="G10" s="3">
        <v>850</v>
      </c>
      <c r="H10" s="3">
        <v>6</v>
      </c>
      <c r="I10" s="3">
        <v>0</v>
      </c>
      <c r="J10" s="3">
        <v>100</v>
      </c>
      <c r="K10" s="3">
        <v>0</v>
      </c>
      <c r="L10" s="3">
        <v>0</v>
      </c>
      <c r="M10" s="2" t="s">
        <v>703</v>
      </c>
      <c r="N10" s="2" t="s">
        <v>687</v>
      </c>
      <c r="O10" s="2">
        <f t="shared" si="0"/>
        <v>24.192000000000004</v>
      </c>
      <c r="P10" s="3">
        <v>1</v>
      </c>
      <c r="Q10" s="3">
        <v>1</v>
      </c>
      <c r="R10" s="3">
        <v>1</v>
      </c>
      <c r="S10" s="2">
        <f t="shared" si="1"/>
        <v>24.192000000000004</v>
      </c>
      <c r="T10" s="3">
        <v>1</v>
      </c>
      <c r="U10" s="2">
        <f>ROUND(VLOOKUP(A10,'04_武器主表'!$A:$I,9,FALSE)*T10,0)</f>
        <v>28</v>
      </c>
      <c r="V10" s="2">
        <f>U10-ROUND(VLOOKUP(A10,'04_武器主表'!$A:$J,10,FALSE)/4*T10,0)</f>
        <v>0</v>
      </c>
      <c r="W10" s="2" t="s">
        <v>704</v>
      </c>
    </row>
    <row r="11" spans="1:23" ht="43.2" customHeight="1">
      <c r="A11" s="2" t="s">
        <v>639</v>
      </c>
      <c r="B11" s="3">
        <v>2</v>
      </c>
      <c r="C11" s="3">
        <v>38</v>
      </c>
      <c r="D11" s="3">
        <v>84</v>
      </c>
      <c r="E11" s="3">
        <v>14</v>
      </c>
      <c r="F11" s="3">
        <v>190</v>
      </c>
      <c r="G11" s="3">
        <v>900</v>
      </c>
      <c r="H11" s="3">
        <v>7</v>
      </c>
      <c r="I11" s="3">
        <v>0</v>
      </c>
      <c r="J11" s="3">
        <v>110</v>
      </c>
      <c r="K11" s="3">
        <v>0</v>
      </c>
      <c r="L11" s="3">
        <v>0</v>
      </c>
      <c r="M11" s="2" t="s">
        <v>705</v>
      </c>
      <c r="N11" s="2" t="s">
        <v>687</v>
      </c>
      <c r="O11" s="2">
        <f t="shared" si="0"/>
        <v>35.941919999999996</v>
      </c>
      <c r="P11" s="3">
        <v>1.06</v>
      </c>
      <c r="Q11" s="3">
        <v>1</v>
      </c>
      <c r="R11" s="3">
        <v>1.02</v>
      </c>
      <c r="S11" s="2">
        <f t="shared" si="1"/>
        <v>38.860403903999995</v>
      </c>
      <c r="T11" s="3">
        <v>1.6</v>
      </c>
      <c r="U11" s="2">
        <f>ROUND(VLOOKUP(A11,'04_武器主表'!$A:$I,9,FALSE)*T11,0)</f>
        <v>45</v>
      </c>
      <c r="V11" s="2">
        <f>U11-ROUND(VLOOKUP(A11,'04_武器主表'!$A:$J,10,FALSE)/4*T11,0)</f>
        <v>0</v>
      </c>
      <c r="W11" s="2" t="s">
        <v>706</v>
      </c>
    </row>
    <row r="12" spans="1:23" ht="43.2" customHeight="1">
      <c r="A12" s="2" t="s">
        <v>639</v>
      </c>
      <c r="B12" s="3">
        <v>3</v>
      </c>
      <c r="C12" s="3">
        <v>52</v>
      </c>
      <c r="D12" s="3">
        <v>88</v>
      </c>
      <c r="E12" s="3">
        <v>18</v>
      </c>
      <c r="F12" s="3">
        <v>205</v>
      </c>
      <c r="G12" s="3">
        <v>950</v>
      </c>
      <c r="H12" s="3">
        <v>8</v>
      </c>
      <c r="I12" s="3">
        <v>0</v>
      </c>
      <c r="J12" s="3">
        <v>120</v>
      </c>
      <c r="K12" s="3">
        <v>0</v>
      </c>
      <c r="L12" s="3">
        <v>0</v>
      </c>
      <c r="M12" s="2" t="s">
        <v>707</v>
      </c>
      <c r="N12" s="2" t="s">
        <v>687</v>
      </c>
      <c r="O12" s="2">
        <f t="shared" si="0"/>
        <v>54.408639999999998</v>
      </c>
      <c r="P12" s="3">
        <v>1.1200000000000001</v>
      </c>
      <c r="Q12" s="3">
        <v>1</v>
      </c>
      <c r="R12" s="3">
        <v>1.03</v>
      </c>
      <c r="S12" s="2">
        <f t="shared" si="1"/>
        <v>62.765807104000004</v>
      </c>
      <c r="T12" s="3">
        <v>3.6</v>
      </c>
      <c r="U12" s="2">
        <f>ROUND(VLOOKUP(A12,'04_武器主表'!$A:$I,9,FALSE)*T12,0)</f>
        <v>101</v>
      </c>
      <c r="V12" s="2">
        <f>U12-ROUND(VLOOKUP(A12,'04_武器主表'!$A:$J,10,FALSE)/4*T12,0)</f>
        <v>0</v>
      </c>
      <c r="W12" s="2" t="s">
        <v>708</v>
      </c>
    </row>
    <row r="13" spans="1:23" ht="43.2" customHeight="1">
      <c r="A13" s="2" t="s">
        <v>639</v>
      </c>
      <c r="B13" s="3">
        <v>4</v>
      </c>
      <c r="C13" s="3">
        <v>70</v>
      </c>
      <c r="D13" s="3">
        <v>94</v>
      </c>
      <c r="E13" s="3">
        <v>24</v>
      </c>
      <c r="F13" s="3">
        <v>225</v>
      </c>
      <c r="G13" s="3">
        <v>1020</v>
      </c>
      <c r="H13" s="3">
        <v>9</v>
      </c>
      <c r="I13" s="3">
        <v>0</v>
      </c>
      <c r="J13" s="3">
        <v>135</v>
      </c>
      <c r="K13" s="3">
        <v>0</v>
      </c>
      <c r="L13" s="3">
        <v>0</v>
      </c>
      <c r="M13" s="2" t="s">
        <v>709</v>
      </c>
      <c r="N13" s="2" t="s">
        <v>687</v>
      </c>
      <c r="O13" s="2">
        <f t="shared" si="0"/>
        <v>85.54</v>
      </c>
      <c r="P13" s="3">
        <v>1.18</v>
      </c>
      <c r="Q13" s="3">
        <v>1</v>
      </c>
      <c r="R13" s="3">
        <v>1.04</v>
      </c>
      <c r="S13" s="2">
        <f t="shared" si="1"/>
        <v>104.97468800000001</v>
      </c>
      <c r="T13" s="3">
        <v>7.2</v>
      </c>
      <c r="U13" s="2">
        <f>ROUND(VLOOKUP(A13,'04_武器主表'!$A:$I,9,FALSE)*T13,0)</f>
        <v>202</v>
      </c>
      <c r="V13" s="2">
        <f>U13-ROUND(VLOOKUP(A13,'04_武器主表'!$A:$J,10,FALSE)/4*T13,0)</f>
        <v>0</v>
      </c>
      <c r="W13" s="2" t="s">
        <v>710</v>
      </c>
    </row>
    <row r="14" spans="1:23" ht="43.2" customHeight="1">
      <c r="A14" s="2" t="s">
        <v>644</v>
      </c>
      <c r="B14" s="3">
        <v>1</v>
      </c>
      <c r="C14" s="3">
        <v>20</v>
      </c>
      <c r="D14" s="3">
        <v>95</v>
      </c>
      <c r="E14" s="3">
        <v>4</v>
      </c>
      <c r="F14" s="3">
        <v>170</v>
      </c>
      <c r="G14" s="3">
        <v>620</v>
      </c>
      <c r="H14" s="3">
        <v>3</v>
      </c>
      <c r="I14" s="3">
        <v>0</v>
      </c>
      <c r="J14" s="3">
        <v>0</v>
      </c>
      <c r="K14" s="3">
        <v>110</v>
      </c>
      <c r="L14" s="3">
        <v>0</v>
      </c>
      <c r="M14" s="2" t="s">
        <v>711</v>
      </c>
      <c r="N14" s="2" t="s">
        <v>712</v>
      </c>
      <c r="O14" s="2">
        <f t="shared" si="0"/>
        <v>19.532</v>
      </c>
      <c r="P14" s="3">
        <v>1.1499999999999999</v>
      </c>
      <c r="Q14" s="3">
        <v>1</v>
      </c>
      <c r="R14" s="3">
        <v>1.05</v>
      </c>
      <c r="S14" s="2">
        <f t="shared" si="1"/>
        <v>23.584889999999998</v>
      </c>
      <c r="T14" s="3">
        <v>1</v>
      </c>
      <c r="U14" s="2">
        <f>ROUND(VLOOKUP(A14,'04_武器主表'!$A:$I,9,FALSE)*T14,0)</f>
        <v>38</v>
      </c>
      <c r="V14" s="2">
        <f>U14-ROUND(VLOOKUP(A14,'04_武器主表'!$A:$J,10,FALSE)/4*T14,0)</f>
        <v>0</v>
      </c>
      <c r="W14" s="2" t="s">
        <v>713</v>
      </c>
    </row>
    <row r="15" spans="1:23" ht="43.2" customHeight="1">
      <c r="A15" s="2" t="s">
        <v>644</v>
      </c>
      <c r="B15" s="3">
        <v>2</v>
      </c>
      <c r="C15" s="3">
        <v>28</v>
      </c>
      <c r="D15" s="3">
        <v>105</v>
      </c>
      <c r="E15" s="3">
        <v>5</v>
      </c>
      <c r="F15" s="3">
        <v>175</v>
      </c>
      <c r="G15" s="3">
        <v>660</v>
      </c>
      <c r="H15" s="3">
        <v>3</v>
      </c>
      <c r="I15" s="3">
        <v>0</v>
      </c>
      <c r="J15" s="3">
        <v>0</v>
      </c>
      <c r="K15" s="3">
        <v>125</v>
      </c>
      <c r="L15" s="3">
        <v>0</v>
      </c>
      <c r="M15" s="2" t="s">
        <v>714</v>
      </c>
      <c r="N15" s="2" t="s">
        <v>712</v>
      </c>
      <c r="O15" s="2">
        <f t="shared" si="0"/>
        <v>30.502500000000005</v>
      </c>
      <c r="P15" s="3">
        <v>1.25</v>
      </c>
      <c r="Q15" s="3">
        <v>1</v>
      </c>
      <c r="R15" s="3">
        <v>1.08</v>
      </c>
      <c r="S15" s="2">
        <f t="shared" si="1"/>
        <v>41.17837500000001</v>
      </c>
      <c r="T15" s="3">
        <v>1.6</v>
      </c>
      <c r="U15" s="2">
        <f>ROUND(VLOOKUP(A15,'04_武器主表'!$A:$I,9,FALSE)*T15,0)</f>
        <v>61</v>
      </c>
      <c r="V15" s="2">
        <f>U15-ROUND(VLOOKUP(A15,'04_武器主表'!$A:$J,10,FALSE)/4*T15,0)</f>
        <v>0</v>
      </c>
      <c r="W15" s="2" t="s">
        <v>715</v>
      </c>
    </row>
    <row r="16" spans="1:23" ht="43.2" customHeight="1">
      <c r="A16" s="2" t="s">
        <v>644</v>
      </c>
      <c r="B16" s="3">
        <v>3</v>
      </c>
      <c r="C16" s="3">
        <v>40</v>
      </c>
      <c r="D16" s="3">
        <v>115</v>
      </c>
      <c r="E16" s="3">
        <v>6</v>
      </c>
      <c r="F16" s="3">
        <v>180</v>
      </c>
      <c r="G16" s="3">
        <v>700</v>
      </c>
      <c r="H16" s="3">
        <v>4</v>
      </c>
      <c r="I16" s="3">
        <v>0</v>
      </c>
      <c r="J16" s="3">
        <v>0</v>
      </c>
      <c r="K16" s="3">
        <v>145</v>
      </c>
      <c r="L16" s="3">
        <v>0</v>
      </c>
      <c r="M16" s="2" t="s">
        <v>716</v>
      </c>
      <c r="N16" s="2" t="s">
        <v>717</v>
      </c>
      <c r="O16" s="2">
        <f t="shared" si="0"/>
        <v>48.207999999999998</v>
      </c>
      <c r="P16" s="3">
        <v>1.38</v>
      </c>
      <c r="Q16" s="3">
        <v>1</v>
      </c>
      <c r="R16" s="3">
        <v>1.1000000000000001</v>
      </c>
      <c r="S16" s="2">
        <f t="shared" si="1"/>
        <v>73.179743999999999</v>
      </c>
      <c r="T16" s="3">
        <v>3.6</v>
      </c>
      <c r="U16" s="2">
        <f>ROUND(VLOOKUP(A16,'04_武器主表'!$A:$I,9,FALSE)*T16,0)</f>
        <v>137</v>
      </c>
      <c r="V16" s="2">
        <f>U16-ROUND(VLOOKUP(A16,'04_武器主表'!$A:$J,10,FALSE)/4*T16,0)</f>
        <v>0</v>
      </c>
      <c r="W16" s="2" t="s">
        <v>718</v>
      </c>
    </row>
    <row r="17" spans="1:23" ht="43.2" customHeight="1">
      <c r="A17" s="2" t="s">
        <v>644</v>
      </c>
      <c r="B17" s="3">
        <v>4</v>
      </c>
      <c r="C17" s="3">
        <v>58</v>
      </c>
      <c r="D17" s="3">
        <v>130</v>
      </c>
      <c r="E17" s="3">
        <v>8</v>
      </c>
      <c r="F17" s="3">
        <v>190</v>
      </c>
      <c r="G17" s="3">
        <v>760</v>
      </c>
      <c r="H17" s="3">
        <v>4</v>
      </c>
      <c r="I17" s="3">
        <v>0</v>
      </c>
      <c r="J17" s="3">
        <v>0</v>
      </c>
      <c r="K17" s="3">
        <v>170</v>
      </c>
      <c r="L17" s="3">
        <v>0</v>
      </c>
      <c r="M17" s="2" t="s">
        <v>719</v>
      </c>
      <c r="N17" s="2" t="s">
        <v>720</v>
      </c>
      <c r="O17" s="2">
        <f t="shared" si="0"/>
        <v>80.828800000000015</v>
      </c>
      <c r="P17" s="3">
        <v>1.55</v>
      </c>
      <c r="Q17" s="3">
        <v>1</v>
      </c>
      <c r="R17" s="3">
        <v>1.1200000000000001</v>
      </c>
      <c r="S17" s="2">
        <f t="shared" si="1"/>
        <v>140.31879680000003</v>
      </c>
      <c r="T17" s="3">
        <v>7.2</v>
      </c>
      <c r="U17" s="2">
        <f>ROUND(VLOOKUP(A17,'04_武器主表'!$A:$I,9,FALSE)*T17,0)</f>
        <v>274</v>
      </c>
      <c r="V17" s="2">
        <f>U17-ROUND(VLOOKUP(A17,'04_武器主表'!$A:$J,10,FALSE)/4*T17,0)</f>
        <v>0</v>
      </c>
      <c r="W17" s="2" t="s">
        <v>721</v>
      </c>
    </row>
    <row r="18" spans="1:23" ht="43.2" customHeight="1">
      <c r="A18" s="2" t="s">
        <v>651</v>
      </c>
      <c r="B18" s="3">
        <v>1</v>
      </c>
      <c r="C18" s="3">
        <v>16</v>
      </c>
      <c r="D18" s="3">
        <v>75</v>
      </c>
      <c r="E18" s="3">
        <v>0</v>
      </c>
      <c r="F18" s="3">
        <v>160</v>
      </c>
      <c r="G18" s="3">
        <v>700</v>
      </c>
      <c r="H18" s="3">
        <v>0</v>
      </c>
      <c r="I18" s="3">
        <v>0</v>
      </c>
      <c r="J18" s="3">
        <v>0</v>
      </c>
      <c r="K18" s="3">
        <v>0</v>
      </c>
      <c r="L18" s="3">
        <v>120</v>
      </c>
      <c r="M18" s="2" t="s">
        <v>722</v>
      </c>
      <c r="N18" s="2" t="s">
        <v>723</v>
      </c>
      <c r="O18" s="2">
        <f t="shared" si="0"/>
        <v>12</v>
      </c>
      <c r="P18" s="3">
        <v>1.2</v>
      </c>
      <c r="Q18" s="3">
        <v>1</v>
      </c>
      <c r="R18" s="3">
        <v>1</v>
      </c>
      <c r="S18" s="2">
        <f t="shared" si="1"/>
        <v>14.399999999999999</v>
      </c>
      <c r="T18" s="3">
        <v>1</v>
      </c>
      <c r="U18" s="2">
        <f>ROUND(VLOOKUP(A18,'04_武器主表'!$A:$I,9,FALSE)*T18,0)</f>
        <v>40</v>
      </c>
      <c r="V18" s="2">
        <f>U18-ROUND(VLOOKUP(A18,'04_武器主表'!$A:$J,10,FALSE)/4*T18,0)</f>
        <v>0</v>
      </c>
      <c r="W18" s="2" t="s">
        <v>724</v>
      </c>
    </row>
    <row r="19" spans="1:23" ht="43.2" customHeight="1">
      <c r="A19" s="2" t="s">
        <v>651</v>
      </c>
      <c r="B19" s="3">
        <v>2</v>
      </c>
      <c r="C19" s="3">
        <v>22</v>
      </c>
      <c r="D19" s="3">
        <v>82</v>
      </c>
      <c r="E19" s="3">
        <v>0</v>
      </c>
      <c r="F19" s="3">
        <v>160</v>
      </c>
      <c r="G19" s="3">
        <v>730</v>
      </c>
      <c r="H19" s="3">
        <v>0</v>
      </c>
      <c r="I19" s="3">
        <v>0</v>
      </c>
      <c r="J19" s="3">
        <v>0</v>
      </c>
      <c r="K19" s="3">
        <v>0</v>
      </c>
      <c r="L19" s="3">
        <v>140</v>
      </c>
      <c r="M19" s="2" t="s">
        <v>725</v>
      </c>
      <c r="N19" s="2" t="s">
        <v>726</v>
      </c>
      <c r="O19" s="2">
        <f t="shared" si="0"/>
        <v>18.04</v>
      </c>
      <c r="P19" s="3">
        <v>1.3</v>
      </c>
      <c r="Q19" s="3">
        <v>1</v>
      </c>
      <c r="R19" s="3">
        <v>1.02</v>
      </c>
      <c r="S19" s="2">
        <f t="shared" si="1"/>
        <v>23.921039999999998</v>
      </c>
      <c r="T19" s="3">
        <v>1.6</v>
      </c>
      <c r="U19" s="2">
        <f>ROUND(VLOOKUP(A19,'04_武器主表'!$A:$I,9,FALSE)*T19,0)</f>
        <v>64</v>
      </c>
      <c r="V19" s="2">
        <f>U19-ROUND(VLOOKUP(A19,'04_武器主表'!$A:$J,10,FALSE)/4*T19,0)</f>
        <v>0</v>
      </c>
      <c r="W19" s="2" t="s">
        <v>727</v>
      </c>
    </row>
    <row r="20" spans="1:23" ht="43.2" customHeight="1">
      <c r="A20" s="2" t="s">
        <v>651</v>
      </c>
      <c r="B20" s="3">
        <v>3</v>
      </c>
      <c r="C20" s="3">
        <v>32</v>
      </c>
      <c r="D20" s="3">
        <v>90</v>
      </c>
      <c r="E20" s="3">
        <v>2</v>
      </c>
      <c r="F20" s="3">
        <v>165</v>
      </c>
      <c r="G20" s="3">
        <v>760</v>
      </c>
      <c r="H20" s="3">
        <v>1</v>
      </c>
      <c r="I20" s="3">
        <v>0</v>
      </c>
      <c r="J20" s="3">
        <v>0</v>
      </c>
      <c r="K20" s="3">
        <v>0</v>
      </c>
      <c r="L20" s="3">
        <v>165</v>
      </c>
      <c r="M20" s="2" t="s">
        <v>728</v>
      </c>
      <c r="N20" s="2" t="s">
        <v>729</v>
      </c>
      <c r="O20" s="2">
        <f t="shared" si="0"/>
        <v>29.174399999999999</v>
      </c>
      <c r="P20" s="3">
        <v>1.42</v>
      </c>
      <c r="Q20" s="3">
        <v>1</v>
      </c>
      <c r="R20" s="3">
        <v>1.04</v>
      </c>
      <c r="S20" s="2">
        <f t="shared" si="1"/>
        <v>43.084753919999997</v>
      </c>
      <c r="T20" s="3">
        <v>3.6</v>
      </c>
      <c r="U20" s="2">
        <f>ROUND(VLOOKUP(A20,'04_武器主表'!$A:$I,9,FALSE)*T20,0)</f>
        <v>144</v>
      </c>
      <c r="V20" s="2">
        <f>U20-ROUND(VLOOKUP(A20,'04_武器主表'!$A:$J,10,FALSE)/4*T20,0)</f>
        <v>0</v>
      </c>
      <c r="W20" s="2" t="s">
        <v>730</v>
      </c>
    </row>
    <row r="21" spans="1:23" ht="43.2" customHeight="1">
      <c r="A21" s="2" t="s">
        <v>651</v>
      </c>
      <c r="B21" s="3">
        <v>4</v>
      </c>
      <c r="C21" s="3">
        <v>46</v>
      </c>
      <c r="D21" s="3">
        <v>100</v>
      </c>
      <c r="E21" s="3">
        <v>4</v>
      </c>
      <c r="F21" s="3">
        <v>170</v>
      </c>
      <c r="G21" s="3">
        <v>820</v>
      </c>
      <c r="H21" s="3">
        <v>1</v>
      </c>
      <c r="I21" s="3">
        <v>0</v>
      </c>
      <c r="J21" s="3">
        <v>0</v>
      </c>
      <c r="K21" s="3">
        <v>0</v>
      </c>
      <c r="L21" s="3">
        <v>195</v>
      </c>
      <c r="M21" s="2" t="s">
        <v>731</v>
      </c>
      <c r="N21" s="2" t="s">
        <v>732</v>
      </c>
      <c r="O21" s="2">
        <f t="shared" si="0"/>
        <v>47.288000000000004</v>
      </c>
      <c r="P21" s="3">
        <v>1.6</v>
      </c>
      <c r="Q21" s="3">
        <v>1</v>
      </c>
      <c r="R21" s="3">
        <v>1.06</v>
      </c>
      <c r="S21" s="2">
        <f t="shared" si="1"/>
        <v>80.200448000000009</v>
      </c>
      <c r="T21" s="3">
        <v>7.2</v>
      </c>
      <c r="U21" s="2">
        <f>ROUND(VLOOKUP(A21,'04_武器主表'!$A:$I,9,FALSE)*T21,0)</f>
        <v>288</v>
      </c>
      <c r="V21" s="2">
        <f>U21-ROUND(VLOOKUP(A21,'04_武器主表'!$A:$J,10,FALSE)/4*T21,0)</f>
        <v>0</v>
      </c>
      <c r="W21" s="2" t="s">
        <v>733</v>
      </c>
    </row>
    <row r="22" spans="1:23" ht="43.2" customHeight="1">
      <c r="A22" s="2" t="s">
        <v>656</v>
      </c>
      <c r="B22" s="3">
        <v>1</v>
      </c>
      <c r="C22" s="3">
        <v>12</v>
      </c>
      <c r="D22" s="3">
        <v>160</v>
      </c>
      <c r="E22" s="3">
        <v>8</v>
      </c>
      <c r="F22" s="3">
        <v>170</v>
      </c>
      <c r="G22" s="3">
        <v>130</v>
      </c>
      <c r="H22" s="3">
        <v>4</v>
      </c>
      <c r="I22" s="3">
        <v>100</v>
      </c>
      <c r="J22" s="3">
        <v>0</v>
      </c>
      <c r="K22" s="3">
        <v>0</v>
      </c>
      <c r="L22" s="3">
        <v>0</v>
      </c>
      <c r="M22" s="2" t="s">
        <v>734</v>
      </c>
      <c r="N22" s="2" t="s">
        <v>687</v>
      </c>
      <c r="O22" s="2">
        <f t="shared" si="0"/>
        <v>20.275200000000005</v>
      </c>
      <c r="P22" s="3">
        <v>1.05</v>
      </c>
      <c r="Q22" s="3">
        <v>1</v>
      </c>
      <c r="R22" s="3">
        <v>0.92</v>
      </c>
      <c r="S22" s="2">
        <f t="shared" si="1"/>
        <v>19.585843200000006</v>
      </c>
      <c r="T22" s="3">
        <v>1</v>
      </c>
      <c r="U22" s="2">
        <f>ROUND(VLOOKUP(A22,'04_武器主表'!$A:$I,9,FALSE)*T22,0)</f>
        <v>24</v>
      </c>
      <c r="V22" s="2">
        <f>U22-ROUND(VLOOKUP(A22,'04_武器主表'!$A:$J,10,FALSE)/4*T22,0)</f>
        <v>0</v>
      </c>
      <c r="W22" s="2" t="s">
        <v>735</v>
      </c>
    </row>
    <row r="23" spans="1:23" ht="43.2" customHeight="1">
      <c r="A23" s="2" t="s">
        <v>656</v>
      </c>
      <c r="B23" s="3">
        <v>2</v>
      </c>
      <c r="C23" s="3">
        <v>15</v>
      </c>
      <c r="D23" s="3">
        <v>190</v>
      </c>
      <c r="E23" s="3">
        <v>10</v>
      </c>
      <c r="F23" s="3">
        <v>175</v>
      </c>
      <c r="G23" s="3">
        <v>140</v>
      </c>
      <c r="H23" s="3">
        <v>4</v>
      </c>
      <c r="I23" s="3">
        <v>110</v>
      </c>
      <c r="J23" s="3">
        <v>0</v>
      </c>
      <c r="K23" s="3">
        <v>0</v>
      </c>
      <c r="L23" s="3">
        <v>0</v>
      </c>
      <c r="M23" s="2" t="s">
        <v>736</v>
      </c>
      <c r="N23" s="2" t="s">
        <v>687</v>
      </c>
      <c r="O23" s="2">
        <f t="shared" si="0"/>
        <v>30.637499999999999</v>
      </c>
      <c r="P23" s="3">
        <v>1.1200000000000001</v>
      </c>
      <c r="Q23" s="3">
        <v>1</v>
      </c>
      <c r="R23" s="3">
        <v>0.94</v>
      </c>
      <c r="S23" s="2">
        <f t="shared" si="1"/>
        <v>32.255159999999997</v>
      </c>
      <c r="T23" s="3">
        <v>1.6</v>
      </c>
      <c r="U23" s="2">
        <f>ROUND(VLOOKUP(A23,'04_武器主表'!$A:$I,9,FALSE)*T23,0)</f>
        <v>38</v>
      </c>
      <c r="V23" s="2">
        <f>U23-ROUND(VLOOKUP(A23,'04_武器主表'!$A:$J,10,FALSE)/4*T23,0)</f>
        <v>0</v>
      </c>
      <c r="W23" s="2" t="s">
        <v>737</v>
      </c>
    </row>
    <row r="24" spans="1:23" ht="43.2" customHeight="1">
      <c r="A24" s="2" t="s">
        <v>656</v>
      </c>
      <c r="B24" s="3">
        <v>3</v>
      </c>
      <c r="C24" s="3">
        <v>19</v>
      </c>
      <c r="D24" s="3">
        <v>230</v>
      </c>
      <c r="E24" s="3">
        <v>13</v>
      </c>
      <c r="F24" s="3">
        <v>185</v>
      </c>
      <c r="G24" s="3">
        <v>150</v>
      </c>
      <c r="H24" s="3">
        <v>5</v>
      </c>
      <c r="I24" s="3">
        <v>125</v>
      </c>
      <c r="J24" s="3">
        <v>0</v>
      </c>
      <c r="K24" s="3">
        <v>0</v>
      </c>
      <c r="L24" s="3">
        <v>0</v>
      </c>
      <c r="M24" s="2" t="s">
        <v>738</v>
      </c>
      <c r="N24" s="2" t="s">
        <v>687</v>
      </c>
      <c r="O24" s="2">
        <f t="shared" si="0"/>
        <v>48.528849999999998</v>
      </c>
      <c r="P24" s="3">
        <v>1.2</v>
      </c>
      <c r="Q24" s="3">
        <v>1</v>
      </c>
      <c r="R24" s="3">
        <v>0.96</v>
      </c>
      <c r="S24" s="2">
        <f t="shared" si="1"/>
        <v>55.905235199999993</v>
      </c>
      <c r="T24" s="3">
        <v>3.6</v>
      </c>
      <c r="U24" s="2">
        <f>ROUND(VLOOKUP(A24,'04_武器主表'!$A:$I,9,FALSE)*T24,0)</f>
        <v>86</v>
      </c>
      <c r="V24" s="2">
        <f>U24-ROUND(VLOOKUP(A24,'04_武器主表'!$A:$J,10,FALSE)/4*T24,0)</f>
        <v>0</v>
      </c>
      <c r="W24" s="2" t="s">
        <v>739</v>
      </c>
    </row>
    <row r="25" spans="1:23" ht="43.2" customHeight="1">
      <c r="A25" s="2" t="s">
        <v>656</v>
      </c>
      <c r="B25" s="3">
        <v>4</v>
      </c>
      <c r="C25" s="3">
        <v>25</v>
      </c>
      <c r="D25" s="3">
        <v>280</v>
      </c>
      <c r="E25" s="3">
        <v>17</v>
      </c>
      <c r="F25" s="3">
        <v>200</v>
      </c>
      <c r="G25" s="3">
        <v>165</v>
      </c>
      <c r="H25" s="3">
        <v>5</v>
      </c>
      <c r="I25" s="3">
        <v>145</v>
      </c>
      <c r="J25" s="3">
        <v>0</v>
      </c>
      <c r="K25" s="3">
        <v>0</v>
      </c>
      <c r="L25" s="3">
        <v>0</v>
      </c>
      <c r="M25" s="2" t="s">
        <v>740</v>
      </c>
      <c r="N25" s="2" t="s">
        <v>687</v>
      </c>
      <c r="O25" s="2">
        <f t="shared" si="0"/>
        <v>81.899999999999991</v>
      </c>
      <c r="P25" s="3">
        <v>1.3</v>
      </c>
      <c r="Q25" s="3">
        <v>1</v>
      </c>
      <c r="R25" s="3">
        <v>0.98</v>
      </c>
      <c r="S25" s="2">
        <f t="shared" si="1"/>
        <v>104.34059999999999</v>
      </c>
      <c r="T25" s="3">
        <v>7.2</v>
      </c>
      <c r="U25" s="2">
        <f>ROUND(VLOOKUP(A25,'04_武器主表'!$A:$I,9,FALSE)*T25,0)</f>
        <v>173</v>
      </c>
      <c r="V25" s="2">
        <f>U25-ROUND(VLOOKUP(A25,'04_武器主表'!$A:$J,10,FALSE)/4*T25,0)</f>
        <v>0</v>
      </c>
      <c r="W25" s="2" t="s">
        <v>741</v>
      </c>
    </row>
    <row r="26" spans="1:23" ht="43.2" customHeight="1">
      <c r="A26" s="2" t="s">
        <v>661</v>
      </c>
      <c r="B26" s="3">
        <v>1</v>
      </c>
      <c r="C26" s="3">
        <v>24</v>
      </c>
      <c r="D26" s="3">
        <v>90</v>
      </c>
      <c r="E26" s="3">
        <v>6</v>
      </c>
      <c r="F26" s="3">
        <v>175</v>
      </c>
      <c r="G26" s="3">
        <v>760</v>
      </c>
      <c r="H26" s="3">
        <v>3</v>
      </c>
      <c r="I26" s="3">
        <v>0</v>
      </c>
      <c r="J26" s="3">
        <v>0</v>
      </c>
      <c r="K26" s="3">
        <v>100</v>
      </c>
      <c r="L26" s="3">
        <v>0</v>
      </c>
      <c r="M26" s="2" t="s">
        <v>742</v>
      </c>
      <c r="N26" s="2" t="s">
        <v>687</v>
      </c>
      <c r="O26" s="2">
        <f t="shared" si="0"/>
        <v>22.571999999999999</v>
      </c>
      <c r="P26" s="3">
        <v>1</v>
      </c>
      <c r="Q26" s="3">
        <v>1</v>
      </c>
      <c r="R26" s="3">
        <v>1</v>
      </c>
      <c r="S26" s="2">
        <f t="shared" si="1"/>
        <v>22.571999999999999</v>
      </c>
      <c r="T26" s="3">
        <v>1</v>
      </c>
      <c r="U26" s="2">
        <f>ROUND(VLOOKUP(A26,'04_武器主表'!$A:$I,9,FALSE)*T26,0)</f>
        <v>26</v>
      </c>
      <c r="V26" s="2">
        <f>U26-ROUND(VLOOKUP(A26,'04_武器主表'!$A:$J,10,FALSE)/4*T26,0)</f>
        <v>0</v>
      </c>
      <c r="W26" s="2" t="s">
        <v>743</v>
      </c>
    </row>
    <row r="27" spans="1:23" ht="43.2" customHeight="1">
      <c r="A27" s="2" t="s">
        <v>661</v>
      </c>
      <c r="B27" s="3">
        <v>2</v>
      </c>
      <c r="C27" s="3">
        <v>33</v>
      </c>
      <c r="D27" s="3">
        <v>96</v>
      </c>
      <c r="E27" s="3">
        <v>8</v>
      </c>
      <c r="F27" s="3">
        <v>180</v>
      </c>
      <c r="G27" s="3">
        <v>800</v>
      </c>
      <c r="H27" s="3">
        <v>3</v>
      </c>
      <c r="I27" s="3">
        <v>0</v>
      </c>
      <c r="J27" s="3">
        <v>0</v>
      </c>
      <c r="K27" s="3">
        <v>112</v>
      </c>
      <c r="L27" s="3">
        <v>0</v>
      </c>
      <c r="M27" s="2" t="s">
        <v>744</v>
      </c>
      <c r="N27" s="2" t="s">
        <v>687</v>
      </c>
      <c r="O27" s="2">
        <f t="shared" si="0"/>
        <v>33.707520000000002</v>
      </c>
      <c r="P27" s="3">
        <v>1.07</v>
      </c>
      <c r="Q27" s="3">
        <v>1</v>
      </c>
      <c r="R27" s="3">
        <v>1.02</v>
      </c>
      <c r="S27" s="2">
        <f t="shared" si="1"/>
        <v>36.788387328000006</v>
      </c>
      <c r="T27" s="3">
        <v>1.6</v>
      </c>
      <c r="U27" s="2">
        <f>ROUND(VLOOKUP(A27,'04_武器主表'!$A:$I,9,FALSE)*T27,0)</f>
        <v>42</v>
      </c>
      <c r="V27" s="2">
        <f>U27-ROUND(VLOOKUP(A27,'04_武器主表'!$A:$J,10,FALSE)/4*T27,0)</f>
        <v>0</v>
      </c>
      <c r="W27" s="2" t="s">
        <v>745</v>
      </c>
    </row>
    <row r="28" spans="1:23" ht="43.2" customHeight="1">
      <c r="A28" s="2" t="s">
        <v>661</v>
      </c>
      <c r="B28" s="3">
        <v>3</v>
      </c>
      <c r="C28" s="3">
        <v>46</v>
      </c>
      <c r="D28" s="3">
        <v>104</v>
      </c>
      <c r="E28" s="3">
        <v>11</v>
      </c>
      <c r="F28" s="3">
        <v>190</v>
      </c>
      <c r="G28" s="3">
        <v>840</v>
      </c>
      <c r="H28" s="3">
        <v>4</v>
      </c>
      <c r="I28" s="3">
        <v>0</v>
      </c>
      <c r="J28" s="3">
        <v>0</v>
      </c>
      <c r="K28" s="3">
        <v>128</v>
      </c>
      <c r="L28" s="3">
        <v>0</v>
      </c>
      <c r="M28" s="2" t="s">
        <v>746</v>
      </c>
      <c r="N28" s="2" t="s">
        <v>687</v>
      </c>
      <c r="O28" s="2">
        <f t="shared" si="0"/>
        <v>52.576160000000002</v>
      </c>
      <c r="P28" s="3">
        <v>1.1499999999999999</v>
      </c>
      <c r="Q28" s="3">
        <v>1</v>
      </c>
      <c r="R28" s="3">
        <v>1.04</v>
      </c>
      <c r="S28" s="2">
        <f t="shared" si="1"/>
        <v>62.881087360000002</v>
      </c>
      <c r="T28" s="3">
        <v>3.6</v>
      </c>
      <c r="U28" s="2">
        <f>ROUND(VLOOKUP(A28,'04_武器主表'!$A:$I,9,FALSE)*T28,0)</f>
        <v>94</v>
      </c>
      <c r="V28" s="2">
        <f>U28-ROUND(VLOOKUP(A28,'04_武器主表'!$A:$J,10,FALSE)/4*T28,0)</f>
        <v>0</v>
      </c>
      <c r="W28" s="2" t="s">
        <v>747</v>
      </c>
    </row>
    <row r="29" spans="1:23" ht="43.2" customHeight="1">
      <c r="A29" s="2" t="s">
        <v>661</v>
      </c>
      <c r="B29" s="3">
        <v>4</v>
      </c>
      <c r="C29" s="3">
        <v>64</v>
      </c>
      <c r="D29" s="3">
        <v>114</v>
      </c>
      <c r="E29" s="3">
        <v>15</v>
      </c>
      <c r="F29" s="3">
        <v>205</v>
      </c>
      <c r="G29" s="3">
        <v>900</v>
      </c>
      <c r="H29" s="3">
        <v>4</v>
      </c>
      <c r="I29" s="3">
        <v>0</v>
      </c>
      <c r="J29" s="3">
        <v>0</v>
      </c>
      <c r="K29" s="3">
        <v>150</v>
      </c>
      <c r="L29" s="3">
        <v>0</v>
      </c>
      <c r="M29" s="2" t="s">
        <v>748</v>
      </c>
      <c r="N29" s="2" t="s">
        <v>687</v>
      </c>
      <c r="O29" s="2">
        <f t="shared" si="0"/>
        <v>84.451199999999986</v>
      </c>
      <c r="P29" s="3">
        <v>1.25</v>
      </c>
      <c r="Q29" s="3">
        <v>1</v>
      </c>
      <c r="R29" s="3">
        <v>1.06</v>
      </c>
      <c r="S29" s="2">
        <f t="shared" si="1"/>
        <v>111.89783999999999</v>
      </c>
      <c r="T29" s="3">
        <v>7.2</v>
      </c>
      <c r="U29" s="2">
        <f>ROUND(VLOOKUP(A29,'04_武器主表'!$A:$I,9,FALSE)*T29,0)</f>
        <v>187</v>
      </c>
      <c r="V29" s="2">
        <f>U29-ROUND(VLOOKUP(A29,'04_武器主表'!$A:$J,10,FALSE)/4*T29,0)</f>
        <v>0</v>
      </c>
      <c r="W29" s="2" t="s">
        <v>749</v>
      </c>
    </row>
    <row r="30" spans="1:23" ht="43.2" customHeight="1">
      <c r="A30" s="2" t="s">
        <v>665</v>
      </c>
      <c r="B30" s="3">
        <v>1</v>
      </c>
      <c r="C30" s="3">
        <v>52</v>
      </c>
      <c r="D30" s="3">
        <v>45</v>
      </c>
      <c r="E30" s="3">
        <v>0</v>
      </c>
      <c r="F30" s="3">
        <v>170</v>
      </c>
      <c r="G30" s="3">
        <v>190</v>
      </c>
      <c r="H30" s="3">
        <v>28</v>
      </c>
      <c r="I30" s="3">
        <v>110</v>
      </c>
      <c r="J30" s="3">
        <v>0</v>
      </c>
      <c r="K30" s="3">
        <v>0</v>
      </c>
      <c r="L30" s="3">
        <v>0</v>
      </c>
      <c r="M30" s="2" t="s">
        <v>750</v>
      </c>
      <c r="N30" s="2" t="s">
        <v>687</v>
      </c>
      <c r="O30" s="2">
        <f t="shared" si="0"/>
        <v>23.400000000000002</v>
      </c>
      <c r="P30" s="3">
        <v>1.25</v>
      </c>
      <c r="Q30" s="3">
        <v>1</v>
      </c>
      <c r="R30" s="3">
        <v>1.08</v>
      </c>
      <c r="S30" s="2">
        <f t="shared" si="1"/>
        <v>31.590000000000007</v>
      </c>
      <c r="T30" s="3">
        <v>1</v>
      </c>
      <c r="U30" s="2">
        <f>ROUND(VLOOKUP(A30,'04_武器主表'!$A:$I,9,FALSE)*T30,0)</f>
        <v>42</v>
      </c>
      <c r="V30" s="2">
        <f>U30-ROUND(VLOOKUP(A30,'04_武器主表'!$A:$J,10,FALSE)/4*T30,0)</f>
        <v>0</v>
      </c>
      <c r="W30" s="2" t="s">
        <v>751</v>
      </c>
    </row>
    <row r="31" spans="1:23" ht="43.2" customHeight="1">
      <c r="A31" s="2" t="s">
        <v>665</v>
      </c>
      <c r="B31" s="3">
        <v>2</v>
      </c>
      <c r="C31" s="3">
        <v>76</v>
      </c>
      <c r="D31" s="3">
        <v>48</v>
      </c>
      <c r="E31" s="3">
        <v>1</v>
      </c>
      <c r="F31" s="3">
        <v>175</v>
      </c>
      <c r="G31" s="3">
        <v>210</v>
      </c>
      <c r="H31" s="3">
        <v>34</v>
      </c>
      <c r="I31" s="3">
        <v>125</v>
      </c>
      <c r="J31" s="3">
        <v>0</v>
      </c>
      <c r="K31" s="3">
        <v>0</v>
      </c>
      <c r="L31" s="3">
        <v>0</v>
      </c>
      <c r="M31" s="2" t="s">
        <v>752</v>
      </c>
      <c r="N31" s="2" t="s">
        <v>687</v>
      </c>
      <c r="O31" s="2">
        <f t="shared" si="0"/>
        <v>36.753599999999999</v>
      </c>
      <c r="P31" s="3">
        <v>1.35</v>
      </c>
      <c r="Q31" s="3">
        <v>1</v>
      </c>
      <c r="R31" s="3">
        <v>1.1000000000000001</v>
      </c>
      <c r="S31" s="2">
        <f t="shared" si="1"/>
        <v>54.579096000000007</v>
      </c>
      <c r="T31" s="3">
        <v>1.6</v>
      </c>
      <c r="U31" s="2">
        <f>ROUND(VLOOKUP(A31,'04_武器主表'!$A:$I,9,FALSE)*T31,0)</f>
        <v>67</v>
      </c>
      <c r="V31" s="2">
        <f>U31-ROUND(VLOOKUP(A31,'04_武器主表'!$A:$J,10,FALSE)/4*T31,0)</f>
        <v>0</v>
      </c>
      <c r="W31" s="2" t="s">
        <v>753</v>
      </c>
    </row>
    <row r="32" spans="1:23" ht="43.2" customHeight="1">
      <c r="A32" s="2" t="s">
        <v>665</v>
      </c>
      <c r="B32" s="3">
        <v>3</v>
      </c>
      <c r="C32" s="3">
        <v>110</v>
      </c>
      <c r="D32" s="3">
        <v>52</v>
      </c>
      <c r="E32" s="3">
        <v>3</v>
      </c>
      <c r="F32" s="3">
        <v>185</v>
      </c>
      <c r="G32" s="3">
        <v>235</v>
      </c>
      <c r="H32" s="3">
        <v>42</v>
      </c>
      <c r="I32" s="3">
        <v>145</v>
      </c>
      <c r="J32" s="3">
        <v>0</v>
      </c>
      <c r="K32" s="3">
        <v>0</v>
      </c>
      <c r="L32" s="3">
        <v>0</v>
      </c>
      <c r="M32" s="2" t="s">
        <v>754</v>
      </c>
      <c r="N32" s="2" t="s">
        <v>687</v>
      </c>
      <c r="O32" s="2">
        <f t="shared" si="0"/>
        <v>58.658600000000007</v>
      </c>
      <c r="P32" s="3">
        <v>1.48</v>
      </c>
      <c r="Q32" s="3">
        <v>1</v>
      </c>
      <c r="R32" s="3">
        <v>1.1200000000000001</v>
      </c>
      <c r="S32" s="2">
        <f t="shared" si="1"/>
        <v>97.232495360000016</v>
      </c>
      <c r="T32" s="3">
        <v>3.6</v>
      </c>
      <c r="U32" s="2">
        <f>ROUND(VLOOKUP(A32,'04_武器主表'!$A:$I,9,FALSE)*T32,0)</f>
        <v>151</v>
      </c>
      <c r="V32" s="2">
        <f>U32-ROUND(VLOOKUP(A32,'04_武器主表'!$A:$J,10,FALSE)/4*T32,0)</f>
        <v>0</v>
      </c>
      <c r="W32" s="2" t="s">
        <v>755</v>
      </c>
    </row>
    <row r="33" spans="1:23" ht="43.2" customHeight="1">
      <c r="A33" s="2" t="s">
        <v>665</v>
      </c>
      <c r="B33" s="3">
        <v>4</v>
      </c>
      <c r="C33" s="3">
        <v>160</v>
      </c>
      <c r="D33" s="3">
        <v>56</v>
      </c>
      <c r="E33" s="3">
        <v>5</v>
      </c>
      <c r="F33" s="3">
        <v>200</v>
      </c>
      <c r="G33" s="3">
        <v>270</v>
      </c>
      <c r="H33" s="3">
        <v>52</v>
      </c>
      <c r="I33" s="3">
        <v>170</v>
      </c>
      <c r="J33" s="3">
        <v>0</v>
      </c>
      <c r="K33" s="3">
        <v>0</v>
      </c>
      <c r="L33" s="3">
        <v>0</v>
      </c>
      <c r="M33" s="2" t="s">
        <v>756</v>
      </c>
      <c r="N33" s="2" t="s">
        <v>687</v>
      </c>
      <c r="O33" s="2">
        <f t="shared" si="0"/>
        <v>94.080000000000013</v>
      </c>
      <c r="P33" s="3">
        <v>1.65</v>
      </c>
      <c r="Q33" s="3">
        <v>1</v>
      </c>
      <c r="R33" s="3">
        <v>1.1499999999999999</v>
      </c>
      <c r="S33" s="2">
        <f t="shared" si="1"/>
        <v>178.51679999999999</v>
      </c>
      <c r="T33" s="3">
        <v>7.2</v>
      </c>
      <c r="U33" s="2">
        <f>ROUND(VLOOKUP(A33,'04_武器主表'!$A:$I,9,FALSE)*T33,0)</f>
        <v>302</v>
      </c>
      <c r="V33" s="2">
        <f>U33-ROUND(VLOOKUP(A33,'04_武器主表'!$A:$J,10,FALSE)/4*T33,0)</f>
        <v>0</v>
      </c>
      <c r="W33" s="2" t="s">
        <v>757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26.77734375" customWidth="1"/>
    <col min="2" max="2" width="14.77734375" customWidth="1"/>
    <col min="3" max="3" width="18.77734375" customWidth="1"/>
    <col min="4" max="4" width="12.77734375" customWidth="1"/>
    <col min="5" max="5" width="10.77734375" customWidth="1"/>
    <col min="6" max="6" width="13.77734375" customWidth="1"/>
    <col min="7" max="7" width="12.77734375" customWidth="1"/>
    <col min="8" max="8" width="16.77734375" customWidth="1"/>
    <col min="9" max="9" width="14.77734375" customWidth="1"/>
    <col min="10" max="10" width="10.77734375" customWidth="1"/>
    <col min="11" max="11" width="18.77734375" customWidth="1"/>
    <col min="12" max="12" width="44.77734375" customWidth="1"/>
    <col min="13" max="13" width="28.77734375" customWidth="1"/>
    <col min="14" max="14" width="20.77734375" customWidth="1"/>
    <col min="15" max="16" width="12.77734375" customWidth="1"/>
    <col min="17" max="18" width="14.77734375" customWidth="1"/>
    <col min="19" max="19" width="46.77734375" customWidth="1"/>
  </cols>
  <sheetData>
    <row r="1" spans="1:19" ht="30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3" t="s">
        <v>18</v>
      </c>
    </row>
    <row r="2" spans="1:19" ht="62.4" customHeight="1">
      <c r="A2" s="9" t="s">
        <v>19</v>
      </c>
      <c r="B2" s="8" t="s">
        <v>20</v>
      </c>
      <c r="C2" s="8" t="s">
        <v>21</v>
      </c>
      <c r="D2" s="8">
        <v>32</v>
      </c>
      <c r="E2" s="8">
        <v>15</v>
      </c>
      <c r="F2" s="8">
        <v>72</v>
      </c>
      <c r="G2" s="8">
        <v>380</v>
      </c>
      <c r="H2" s="8">
        <v>180</v>
      </c>
      <c r="I2" s="8">
        <v>165</v>
      </c>
      <c r="J2" s="8">
        <v>0</v>
      </c>
      <c r="K2" s="8">
        <v>0</v>
      </c>
      <c r="L2" s="8" t="s">
        <v>22</v>
      </c>
      <c r="M2" s="8" t="s">
        <v>23</v>
      </c>
      <c r="N2" s="8" t="s">
        <v>24</v>
      </c>
      <c r="O2" s="17">
        <v>0.35</v>
      </c>
      <c r="P2" s="17">
        <v>0.25</v>
      </c>
      <c r="Q2" s="8">
        <f t="shared" ref="Q2:Q11" si="0">D2</f>
        <v>32</v>
      </c>
      <c r="R2" s="8">
        <f t="shared" ref="R2:R11" si="1">ROUND(E2*(F2/100)*O2,2)</f>
        <v>3.78</v>
      </c>
      <c r="S2" s="10" t="s">
        <v>25</v>
      </c>
    </row>
    <row r="3" spans="1:19" ht="62.4" customHeight="1">
      <c r="A3" s="9" t="s">
        <v>26</v>
      </c>
      <c r="B3" s="8" t="s">
        <v>27</v>
      </c>
      <c r="C3" s="8" t="s">
        <v>28</v>
      </c>
      <c r="D3" s="8">
        <v>24</v>
      </c>
      <c r="E3" s="8">
        <v>10</v>
      </c>
      <c r="F3" s="8">
        <v>100</v>
      </c>
      <c r="G3" s="8">
        <v>540</v>
      </c>
      <c r="H3" s="8">
        <v>150</v>
      </c>
      <c r="I3" s="8">
        <v>135</v>
      </c>
      <c r="J3" s="8">
        <v>0</v>
      </c>
      <c r="K3" s="8">
        <v>0</v>
      </c>
      <c r="L3" s="8" t="s">
        <v>22</v>
      </c>
      <c r="M3" s="8" t="s">
        <v>29</v>
      </c>
      <c r="N3" s="8" t="s">
        <v>30</v>
      </c>
      <c r="O3" s="17">
        <v>0.5</v>
      </c>
      <c r="P3" s="17">
        <v>0.4</v>
      </c>
      <c r="Q3" s="8">
        <f t="shared" si="0"/>
        <v>24</v>
      </c>
      <c r="R3" s="8">
        <f t="shared" si="1"/>
        <v>5</v>
      </c>
      <c r="S3" s="10" t="s">
        <v>31</v>
      </c>
    </row>
    <row r="4" spans="1:19" ht="78" customHeight="1">
      <c r="A4" s="9" t="s">
        <v>32</v>
      </c>
      <c r="B4" s="8" t="s">
        <v>33</v>
      </c>
      <c r="C4" s="8" t="s">
        <v>34</v>
      </c>
      <c r="D4" s="8">
        <v>32</v>
      </c>
      <c r="E4" s="8">
        <v>12</v>
      </c>
      <c r="F4" s="8">
        <v>36</v>
      </c>
      <c r="G4" s="8">
        <v>270</v>
      </c>
      <c r="H4" s="8">
        <v>900</v>
      </c>
      <c r="I4" s="8">
        <v>760</v>
      </c>
      <c r="J4" s="8">
        <v>0</v>
      </c>
      <c r="K4" s="8">
        <v>0</v>
      </c>
      <c r="L4" s="8" t="s">
        <v>35</v>
      </c>
      <c r="M4" s="8" t="s">
        <v>23</v>
      </c>
      <c r="N4" s="8" t="s">
        <v>36</v>
      </c>
      <c r="O4" s="17">
        <v>0.36</v>
      </c>
      <c r="P4" s="17">
        <v>0.3</v>
      </c>
      <c r="Q4" s="8">
        <f t="shared" si="0"/>
        <v>32</v>
      </c>
      <c r="R4" s="8">
        <f t="shared" si="1"/>
        <v>1.56</v>
      </c>
      <c r="S4" s="10" t="s">
        <v>37</v>
      </c>
    </row>
    <row r="5" spans="1:19" ht="62.4" customHeight="1">
      <c r="A5" s="9" t="s">
        <v>38</v>
      </c>
      <c r="B5" s="8" t="s">
        <v>39</v>
      </c>
      <c r="C5" s="8" t="s">
        <v>40</v>
      </c>
      <c r="D5" s="8">
        <v>30</v>
      </c>
      <c r="E5" s="8">
        <v>11</v>
      </c>
      <c r="F5" s="8">
        <v>48</v>
      </c>
      <c r="G5" s="8">
        <v>320</v>
      </c>
      <c r="H5" s="8">
        <v>900</v>
      </c>
      <c r="I5" s="8">
        <v>820</v>
      </c>
      <c r="J5" s="8">
        <v>0</v>
      </c>
      <c r="K5" s="8">
        <v>0</v>
      </c>
      <c r="L5" s="8" t="s">
        <v>41</v>
      </c>
      <c r="M5" s="8" t="s">
        <v>23</v>
      </c>
      <c r="N5" s="8" t="s">
        <v>36</v>
      </c>
      <c r="O5" s="17">
        <v>0.4</v>
      </c>
      <c r="P5" s="17">
        <v>0.35</v>
      </c>
      <c r="Q5" s="8">
        <f t="shared" si="0"/>
        <v>30</v>
      </c>
      <c r="R5" s="8">
        <f t="shared" si="1"/>
        <v>2.11</v>
      </c>
      <c r="S5" s="10" t="s">
        <v>42</v>
      </c>
    </row>
    <row r="6" spans="1:19" ht="62.4" customHeight="1">
      <c r="A6" s="9" t="s">
        <v>43</v>
      </c>
      <c r="B6" s="8" t="s">
        <v>44</v>
      </c>
      <c r="C6" s="8" t="s">
        <v>45</v>
      </c>
      <c r="D6" s="8">
        <v>22</v>
      </c>
      <c r="E6" s="8">
        <v>16</v>
      </c>
      <c r="F6" s="8">
        <v>42</v>
      </c>
      <c r="G6" s="8">
        <v>300</v>
      </c>
      <c r="H6" s="8">
        <v>920</v>
      </c>
      <c r="I6" s="8">
        <v>780</v>
      </c>
      <c r="J6" s="8">
        <v>0</v>
      </c>
      <c r="K6" s="8">
        <v>0</v>
      </c>
      <c r="L6" s="8" t="s">
        <v>46</v>
      </c>
      <c r="M6" s="8" t="s">
        <v>23</v>
      </c>
      <c r="N6" s="8" t="s">
        <v>47</v>
      </c>
      <c r="O6" s="17">
        <v>0.42</v>
      </c>
      <c r="P6" s="17">
        <v>0.34</v>
      </c>
      <c r="Q6" s="8">
        <f t="shared" si="0"/>
        <v>22</v>
      </c>
      <c r="R6" s="8">
        <f t="shared" si="1"/>
        <v>2.82</v>
      </c>
      <c r="S6" s="10" t="s">
        <v>48</v>
      </c>
    </row>
    <row r="7" spans="1:19" ht="78" customHeight="1">
      <c r="A7" s="9" t="s">
        <v>49</v>
      </c>
      <c r="B7" s="8" t="s">
        <v>50</v>
      </c>
      <c r="C7" s="8" t="s">
        <v>51</v>
      </c>
      <c r="D7" s="8">
        <v>70</v>
      </c>
      <c r="E7" s="8">
        <v>20</v>
      </c>
      <c r="F7" s="8">
        <v>60</v>
      </c>
      <c r="G7" s="8">
        <v>340</v>
      </c>
      <c r="H7" s="8">
        <v>250</v>
      </c>
      <c r="I7" s="8">
        <v>230</v>
      </c>
      <c r="J7" s="8">
        <v>0</v>
      </c>
      <c r="K7" s="8">
        <v>8</v>
      </c>
      <c r="L7" s="8" t="s">
        <v>52</v>
      </c>
      <c r="M7" s="8" t="s">
        <v>53</v>
      </c>
      <c r="N7" s="8" t="s">
        <v>54</v>
      </c>
      <c r="O7" s="17">
        <v>0.38</v>
      </c>
      <c r="P7" s="17">
        <v>0.26</v>
      </c>
      <c r="Q7" s="8">
        <f t="shared" si="0"/>
        <v>70</v>
      </c>
      <c r="R7" s="8">
        <f t="shared" si="1"/>
        <v>4.5599999999999996</v>
      </c>
      <c r="S7" s="10" t="s">
        <v>55</v>
      </c>
    </row>
    <row r="8" spans="1:19" ht="62.4" customHeight="1">
      <c r="A8" s="9" t="s">
        <v>56</v>
      </c>
      <c r="B8" s="8" t="s">
        <v>57</v>
      </c>
      <c r="C8" s="8" t="s">
        <v>58</v>
      </c>
      <c r="D8" s="8">
        <v>68</v>
      </c>
      <c r="E8" s="8">
        <v>18</v>
      </c>
      <c r="F8" s="8">
        <v>58</v>
      </c>
      <c r="G8" s="8">
        <v>340</v>
      </c>
      <c r="H8" s="8">
        <v>250</v>
      </c>
      <c r="I8" s="8">
        <v>230</v>
      </c>
      <c r="J8" s="8">
        <v>0</v>
      </c>
      <c r="K8" s="8">
        <v>8</v>
      </c>
      <c r="L8" s="8" t="s">
        <v>59</v>
      </c>
      <c r="M8" s="8" t="s">
        <v>60</v>
      </c>
      <c r="N8" s="8" t="s">
        <v>54</v>
      </c>
      <c r="O8" s="17">
        <v>0.42</v>
      </c>
      <c r="P8" s="17">
        <v>0.3</v>
      </c>
      <c r="Q8" s="8">
        <f t="shared" si="0"/>
        <v>68</v>
      </c>
      <c r="R8" s="8">
        <f t="shared" si="1"/>
        <v>4.38</v>
      </c>
      <c r="S8" s="10" t="s">
        <v>61</v>
      </c>
    </row>
    <row r="9" spans="1:19" ht="78" customHeight="1">
      <c r="A9" s="9" t="s">
        <v>62</v>
      </c>
      <c r="B9" s="8" t="s">
        <v>63</v>
      </c>
      <c r="C9" s="8" t="s">
        <v>64</v>
      </c>
      <c r="D9" s="8">
        <v>110</v>
      </c>
      <c r="E9" s="8">
        <v>26</v>
      </c>
      <c r="F9" s="8">
        <v>42</v>
      </c>
      <c r="G9" s="8">
        <v>250</v>
      </c>
      <c r="H9" s="8">
        <v>260</v>
      </c>
      <c r="I9" s="8">
        <v>220</v>
      </c>
      <c r="J9" s="8">
        <v>2</v>
      </c>
      <c r="K9" s="8">
        <v>40</v>
      </c>
      <c r="L9" s="8" t="s">
        <v>65</v>
      </c>
      <c r="M9" s="8" t="s">
        <v>66</v>
      </c>
      <c r="N9" s="8" t="s">
        <v>54</v>
      </c>
      <c r="O9" s="17">
        <v>0.4</v>
      </c>
      <c r="P9" s="17">
        <v>0.28000000000000003</v>
      </c>
      <c r="Q9" s="8">
        <f t="shared" si="0"/>
        <v>110</v>
      </c>
      <c r="R9" s="8">
        <f t="shared" si="1"/>
        <v>4.37</v>
      </c>
      <c r="S9" s="10" t="s">
        <v>67</v>
      </c>
    </row>
    <row r="10" spans="1:19" ht="93.6" customHeight="1">
      <c r="A10" s="9" t="s">
        <v>68</v>
      </c>
      <c r="B10" s="8" t="s">
        <v>69</v>
      </c>
      <c r="C10" s="8" t="s">
        <v>70</v>
      </c>
      <c r="D10" s="8">
        <v>150</v>
      </c>
      <c r="E10" s="8">
        <v>34</v>
      </c>
      <c r="F10" s="8">
        <v>38</v>
      </c>
      <c r="G10" s="8">
        <v>230</v>
      </c>
      <c r="H10" s="8">
        <v>280</v>
      </c>
      <c r="I10" s="8">
        <v>235</v>
      </c>
      <c r="J10" s="8">
        <v>4</v>
      </c>
      <c r="K10" s="8">
        <v>55</v>
      </c>
      <c r="L10" s="8" t="s">
        <v>71</v>
      </c>
      <c r="M10" s="8" t="s">
        <v>72</v>
      </c>
      <c r="N10" s="8" t="s">
        <v>73</v>
      </c>
      <c r="O10" s="17">
        <v>0.52</v>
      </c>
      <c r="P10" s="17">
        <v>0.4</v>
      </c>
      <c r="Q10" s="8">
        <f t="shared" si="0"/>
        <v>150</v>
      </c>
      <c r="R10" s="8">
        <f t="shared" si="1"/>
        <v>6.72</v>
      </c>
      <c r="S10" s="10" t="s">
        <v>74</v>
      </c>
    </row>
    <row r="11" spans="1:19" ht="93.6" customHeight="1">
      <c r="A11" s="14" t="s">
        <v>75</v>
      </c>
      <c r="B11" s="15" t="s">
        <v>76</v>
      </c>
      <c r="C11" s="15" t="s">
        <v>77</v>
      </c>
      <c r="D11" s="15">
        <v>3500</v>
      </c>
      <c r="E11" s="15">
        <v>42</v>
      </c>
      <c r="F11" s="15">
        <v>35</v>
      </c>
      <c r="G11" s="15">
        <v>200</v>
      </c>
      <c r="H11" s="15">
        <v>420</v>
      </c>
      <c r="I11" s="15">
        <v>320</v>
      </c>
      <c r="J11" s="15">
        <v>6</v>
      </c>
      <c r="K11" s="15">
        <v>100</v>
      </c>
      <c r="L11" s="15" t="s">
        <v>78</v>
      </c>
      <c r="M11" s="15" t="s">
        <v>79</v>
      </c>
      <c r="N11" s="15" t="s">
        <v>80</v>
      </c>
      <c r="O11" s="18">
        <v>0.57999999999999996</v>
      </c>
      <c r="P11" s="18">
        <v>0.5</v>
      </c>
      <c r="Q11" s="15">
        <f t="shared" si="0"/>
        <v>3500</v>
      </c>
      <c r="R11" s="15">
        <f t="shared" si="1"/>
        <v>8.5299999999999994</v>
      </c>
      <c r="S11" s="16" t="s">
        <v>81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6.77734375" customWidth="1"/>
    <col min="2" max="2" width="10.77734375" style="24" customWidth="1"/>
    <col min="3" max="3" width="10.77734375" customWidth="1"/>
    <col min="4" max="4" width="12.77734375" customWidth="1"/>
    <col min="5" max="5" width="18.77734375" customWidth="1"/>
    <col min="6" max="6" width="24.77734375" customWidth="1"/>
    <col min="7" max="7" width="22.77734375" customWidth="1"/>
    <col min="8" max="8" width="30.77734375" customWidth="1"/>
    <col min="9" max="9" width="16.77734375" customWidth="1"/>
    <col min="10" max="10" width="14.77734375" customWidth="1"/>
    <col min="11" max="11" width="42.77734375" customWidth="1"/>
  </cols>
  <sheetData>
    <row r="1" spans="1:11" ht="30" customHeight="1">
      <c r="A1" s="11" t="s">
        <v>0</v>
      </c>
      <c r="B1" s="21" t="s">
        <v>758</v>
      </c>
      <c r="C1" s="12" t="s">
        <v>759</v>
      </c>
      <c r="D1" s="12" t="s">
        <v>760</v>
      </c>
      <c r="E1" s="12" t="s">
        <v>761</v>
      </c>
      <c r="F1" s="12" t="s">
        <v>762</v>
      </c>
      <c r="G1" s="12" t="s">
        <v>763</v>
      </c>
      <c r="H1" s="12" t="s">
        <v>764</v>
      </c>
      <c r="I1" s="12" t="s">
        <v>765</v>
      </c>
      <c r="J1" s="12" t="s">
        <v>766</v>
      </c>
      <c r="K1" s="13" t="s">
        <v>18</v>
      </c>
    </row>
    <row r="2" spans="1:11" ht="15.6" customHeight="1">
      <c r="A2" s="9" t="s">
        <v>19</v>
      </c>
      <c r="B2" s="22" t="s">
        <v>767</v>
      </c>
      <c r="C2" s="8">
        <v>70</v>
      </c>
      <c r="D2" s="17">
        <v>0.7</v>
      </c>
      <c r="E2" s="8" t="s">
        <v>24</v>
      </c>
      <c r="F2" s="8" t="s">
        <v>768</v>
      </c>
      <c r="G2" s="8" t="s">
        <v>769</v>
      </c>
      <c r="H2" s="8" t="str">
        <f>"W1 HP "&amp;ROUND(VLOOKUP($A2,'06_怪物主表'!$A:$S,4,FALSE)*1*(IF(ISNUMBER(SEARCH("BossLike",$E2)),1.45,1)*IF(ISNUMBER(SEARCH("Boss;",$E2&amp;";")),1.6,1)*IF(ISNUMBER(SEARCH("Elite",$E2)),1.3,1)),0)&amp;" / Atk "&amp;ROUND(VLOOKUP($A2,'06_怪物主表'!$A:$S,5,FALSE)*1*(IF(ISNUMBER(SEARCH("BossLike",$E2)),1.18,1)*IF(ISNUMBER(SEARCH("Boss;",$E2&amp;";")),1.25,1)*IF(ISNUMBER(SEARCH("Elite",$E2)),1.18,1)*IF(ISNUMBER(SEARCH("Ranged",$E2)),1.05,1)),0)&amp;" / AS "&amp;ROUND(VLOOKUP($A2,'06_怪物主表'!$A:$S,6,FALSE)*1,0)</f>
        <v>W1 HP 32 / Atk 15 / AS 72</v>
      </c>
      <c r="I2" s="8" t="s">
        <v>770</v>
      </c>
      <c r="J2" s="8">
        <f>IF(ISNUMBER($D2),ROUND(VLOOKUP($A2,'06_怪物主表'!$A:$S,18,FALSE)*$D2*VLOOKUP($A2,'06_怪物主表'!$A:$S,16,FALSE)*1*1*(IF(ISNUMBER(SEARCH("BossLike",$E2)),1.18,1)*IF(ISNUMBER(SEARCH("Boss;",$E2&amp;";")),1.25,1)*IF(ISNUMBER(SEARCH("Elite",$E2)),1.18,1)*IF(ISNUMBER(SEARCH("Ranged",$E2)),1.05,1)),2),"节点固定")</f>
        <v>0.66</v>
      </c>
      <c r="K2" s="10" t="s">
        <v>771</v>
      </c>
    </row>
    <row r="3" spans="1:11" ht="15.6" customHeight="1">
      <c r="A3" s="9" t="s">
        <v>26</v>
      </c>
      <c r="B3" s="22" t="s">
        <v>767</v>
      </c>
      <c r="C3" s="8">
        <v>30</v>
      </c>
      <c r="D3" s="17">
        <v>0.3</v>
      </c>
      <c r="E3" s="8" t="s">
        <v>772</v>
      </c>
      <c r="F3" s="8" t="s">
        <v>773</v>
      </c>
      <c r="G3" s="8" t="s">
        <v>774</v>
      </c>
      <c r="H3" s="8" t="str">
        <f>"W1 HP "&amp;ROUND(VLOOKUP($A3,'06_怪物主表'!$A:$S,4,FALSE)*1*(IF(ISNUMBER(SEARCH("BossLike",$E3)),1.45,1)*IF(ISNUMBER(SEARCH("Boss;",$E3&amp;";")),1.6,1)*IF(ISNUMBER(SEARCH("Elite",$E3)),1.3,1)),0)&amp;" / Atk "&amp;ROUND(VLOOKUP($A3,'06_怪物主表'!$A:$S,5,FALSE)*1*(IF(ISNUMBER(SEARCH("BossLike",$E3)),1.18,1)*IF(ISNUMBER(SEARCH("Boss;",$E3&amp;";")),1.25,1)*IF(ISNUMBER(SEARCH("Elite",$E3)),1.18,1)*IF(ISNUMBER(SEARCH("Ranged",$E3)),1.05,1)),0)&amp;" / AS "&amp;ROUND(VLOOKUP($A3,'06_怪物主表'!$A:$S,6,FALSE)*1,0)</f>
        <v>W1 HP 24 / Atk 10 / AS 100</v>
      </c>
      <c r="I3" s="8" t="s">
        <v>775</v>
      </c>
      <c r="J3" s="8">
        <f>IF(ISNUMBER($D3),ROUND(VLOOKUP($A3,'06_怪物主表'!$A:$S,18,FALSE)*$D3*VLOOKUP($A3,'06_怪物主表'!$A:$S,16,FALSE)*1*1*(IF(ISNUMBER(SEARCH("BossLike",$E3)),1.18,1)*IF(ISNUMBER(SEARCH("Boss;",$E3&amp;";")),1.25,1)*IF(ISNUMBER(SEARCH("Elite",$E3)),1.18,1)*IF(ISNUMBER(SEARCH("Ranged",$E3)),1.05,1)),2),"节点固定")</f>
        <v>0.6</v>
      </c>
      <c r="K3" s="10" t="s">
        <v>776</v>
      </c>
    </row>
    <row r="4" spans="1:11" ht="15.6" customHeight="1">
      <c r="A4" s="9" t="s">
        <v>19</v>
      </c>
      <c r="B4" s="22" t="s">
        <v>777</v>
      </c>
      <c r="C4" s="8">
        <v>35</v>
      </c>
      <c r="D4" s="17">
        <v>0.35</v>
      </c>
      <c r="E4" s="8" t="s">
        <v>24</v>
      </c>
      <c r="F4" s="8" t="s">
        <v>768</v>
      </c>
      <c r="G4" s="8" t="s">
        <v>769</v>
      </c>
      <c r="H4" s="8" t="str">
        <f>"W5 HP "&amp;ROUND(VLOOKUP($A4,'06_怪物主表'!$A:$S,4,FALSE)*1.35*(IF(ISNUMBER(SEARCH("BossLike",$E4)),1.45,1)*IF(ISNUMBER(SEARCH("Boss;",$E4&amp;";")),1.6,1)*IF(ISNUMBER(SEARCH("Elite",$E4)),1.3,1)),0)&amp;" / Atk "&amp;ROUND(VLOOKUP($A4,'06_怪物主表'!$A:$S,5,FALSE)*1.1*(IF(ISNUMBER(SEARCH("BossLike",$E4)),1.18,1)*IF(ISNUMBER(SEARCH("Boss;",$E4&amp;";")),1.25,1)*IF(ISNUMBER(SEARCH("Elite",$E4)),1.18,1)*IF(ISNUMBER(SEARCH("Ranged",$E4)),1.05,1)),0)&amp;" / AS "&amp;ROUND(VLOOKUP($A4,'06_怪物主表'!$A:$S,6,FALSE)*1,0)</f>
        <v>W5 HP 43 / Atk 17 / AS 72</v>
      </c>
      <c r="I4" s="8" t="s">
        <v>778</v>
      </c>
      <c r="J4" s="8">
        <f>IF(ISNUMBER($D4),ROUND(VLOOKUP($A4,'06_怪物主表'!$A:$S,18,FALSE)*$D4*VLOOKUP($A4,'06_怪物主表'!$A:$S,16,FALSE)*1.1*1*(IF(ISNUMBER(SEARCH("BossLike",$E4)),1.18,1)*IF(ISNUMBER(SEARCH("Boss;",$E4&amp;";")),1.25,1)*IF(ISNUMBER(SEARCH("Elite",$E4)),1.18,1)*IF(ISNUMBER(SEARCH("Ranged",$E4)),1.05,1)),2),"节点固定")</f>
        <v>0.36</v>
      </c>
      <c r="K4" s="10" t="s">
        <v>779</v>
      </c>
    </row>
    <row r="5" spans="1:11" ht="15.6" customHeight="1">
      <c r="A5" s="9" t="s">
        <v>26</v>
      </c>
      <c r="B5" s="22" t="s">
        <v>777</v>
      </c>
      <c r="C5" s="8">
        <v>25</v>
      </c>
      <c r="D5" s="17">
        <v>0.25</v>
      </c>
      <c r="E5" s="8" t="s">
        <v>772</v>
      </c>
      <c r="F5" s="8" t="s">
        <v>780</v>
      </c>
      <c r="G5" s="8" t="s">
        <v>774</v>
      </c>
      <c r="H5" s="8" t="str">
        <f>"W5 HP "&amp;ROUND(VLOOKUP($A5,'06_怪物主表'!$A:$S,4,FALSE)*1.35*(IF(ISNUMBER(SEARCH("BossLike",$E5)),1.45,1)*IF(ISNUMBER(SEARCH("Boss;",$E5&amp;";")),1.6,1)*IF(ISNUMBER(SEARCH("Elite",$E5)),1.3,1)),0)&amp;" / Atk "&amp;ROUND(VLOOKUP($A5,'06_怪物主表'!$A:$S,5,FALSE)*1.1*(IF(ISNUMBER(SEARCH("BossLike",$E5)),1.18,1)*IF(ISNUMBER(SEARCH("Boss;",$E5&amp;";")),1.25,1)*IF(ISNUMBER(SEARCH("Elite",$E5)),1.18,1)*IF(ISNUMBER(SEARCH("Ranged",$E5)),1.05,1)),0)&amp;" / AS "&amp;ROUND(VLOOKUP($A5,'06_怪物主表'!$A:$S,6,FALSE)*1,0)</f>
        <v>W5 HP 32 / Atk 11 / AS 100</v>
      </c>
      <c r="I5" s="8" t="s">
        <v>781</v>
      </c>
      <c r="J5" s="8">
        <f>IF(ISNUMBER($D5),ROUND(VLOOKUP($A5,'06_怪物主表'!$A:$S,18,FALSE)*$D5*VLOOKUP($A5,'06_怪物主表'!$A:$S,16,FALSE)*1.1*1*(IF(ISNUMBER(SEARCH("BossLike",$E5)),1.18,1)*IF(ISNUMBER(SEARCH("Boss;",$E5&amp;";")),1.25,1)*IF(ISNUMBER(SEARCH("Elite",$E5)),1.18,1)*IF(ISNUMBER(SEARCH("Ranged",$E5)),1.05,1)),2),"节点固定")</f>
        <v>0.55000000000000004</v>
      </c>
      <c r="K5" s="10" t="s">
        <v>782</v>
      </c>
    </row>
    <row r="6" spans="1:11" ht="31.2" customHeight="1">
      <c r="A6" s="9" t="s">
        <v>32</v>
      </c>
      <c r="B6" s="22" t="s">
        <v>777</v>
      </c>
      <c r="C6" s="8">
        <v>13</v>
      </c>
      <c r="D6" s="17">
        <v>0.13</v>
      </c>
      <c r="E6" s="8" t="s">
        <v>36</v>
      </c>
      <c r="F6" s="8" t="s">
        <v>783</v>
      </c>
      <c r="G6" s="8" t="s">
        <v>769</v>
      </c>
      <c r="H6" s="8" t="str">
        <f>"W5 HP "&amp;ROUND(VLOOKUP($A6,'06_怪物主表'!$A:$S,4,FALSE)*1.35*(IF(ISNUMBER(SEARCH("BossLike",$E6)),1.45,1)*IF(ISNUMBER(SEARCH("Boss;",$E6&amp;";")),1.6,1)*IF(ISNUMBER(SEARCH("Elite",$E6)),1.3,1)),0)&amp;" / Atk "&amp;ROUND(VLOOKUP($A6,'06_怪物主表'!$A:$S,5,FALSE)*1.1*(IF(ISNUMBER(SEARCH("BossLike",$E6)),1.18,1)*IF(ISNUMBER(SEARCH("Boss;",$E6&amp;";")),1.25,1)*IF(ISNUMBER(SEARCH("Elite",$E6)),1.18,1)*IF(ISNUMBER(SEARCH("Ranged",$E6)),1.05,1)),0)&amp;" / AS "&amp;ROUND(VLOOKUP($A6,'06_怪物主表'!$A:$S,6,FALSE)*1,0)</f>
        <v>W5 HP 43 / Atk 14 / AS 36</v>
      </c>
      <c r="I6" s="8" t="s">
        <v>784</v>
      </c>
      <c r="J6" s="8">
        <f>IF(ISNUMBER($D6),ROUND(VLOOKUP($A6,'06_怪物主表'!$A:$S,18,FALSE)*$D6*VLOOKUP($A6,'06_怪物主表'!$A:$S,16,FALSE)*1.1*1*(IF(ISNUMBER(SEARCH("BossLike",$E6)),1.18,1)*IF(ISNUMBER(SEARCH("Boss;",$E6&amp;";")),1.25,1)*IF(ISNUMBER(SEARCH("Elite",$E6)),1.18,1)*IF(ISNUMBER(SEARCH("Ranged",$E6)),1.05,1)),2),"节点固定")</f>
        <v>7.0000000000000007E-2</v>
      </c>
      <c r="K6" s="10" t="s">
        <v>785</v>
      </c>
    </row>
    <row r="7" spans="1:11" ht="46.8" customHeight="1">
      <c r="A7" s="9" t="s">
        <v>38</v>
      </c>
      <c r="B7" s="22" t="s">
        <v>777</v>
      </c>
      <c r="C7" s="8">
        <v>10</v>
      </c>
      <c r="D7" s="17">
        <v>0.1</v>
      </c>
      <c r="E7" s="8" t="s">
        <v>36</v>
      </c>
      <c r="F7" s="8" t="s">
        <v>786</v>
      </c>
      <c r="G7" s="8" t="s">
        <v>769</v>
      </c>
      <c r="H7" s="8" t="str">
        <f>"W5 HP "&amp;ROUND(VLOOKUP($A7,'06_怪物主表'!$A:$S,4,FALSE)*1.35*(IF(ISNUMBER(SEARCH("BossLike",$E7)),1.45,1)*IF(ISNUMBER(SEARCH("Boss;",$E7&amp;";")),1.6,1)*IF(ISNUMBER(SEARCH("Elite",$E7)),1.3,1)),0)&amp;" / Atk "&amp;ROUND(VLOOKUP($A7,'06_怪物主表'!$A:$S,5,FALSE)*1.1*(IF(ISNUMBER(SEARCH("BossLike",$E7)),1.18,1)*IF(ISNUMBER(SEARCH("Boss;",$E7&amp;";")),1.25,1)*IF(ISNUMBER(SEARCH("Elite",$E7)),1.18,1)*IF(ISNUMBER(SEARCH("Ranged",$E7)),1.05,1)),0)&amp;" / AS "&amp;ROUND(VLOOKUP($A7,'06_怪物主表'!$A:$S,6,FALSE)*1,0)</f>
        <v>W5 HP 41 / Atk 13 / AS 48</v>
      </c>
      <c r="I7" s="8" t="s">
        <v>784</v>
      </c>
      <c r="J7" s="8">
        <f>IF(ISNUMBER($D7),ROUND(VLOOKUP($A7,'06_怪物主表'!$A:$S,18,FALSE)*$D7*VLOOKUP($A7,'06_怪物主表'!$A:$S,16,FALSE)*1.1*1*(IF(ISNUMBER(SEARCH("BossLike",$E7)),1.18,1)*IF(ISNUMBER(SEARCH("Boss;",$E7&amp;";")),1.25,1)*IF(ISNUMBER(SEARCH("Elite",$E7)),1.18,1)*IF(ISNUMBER(SEARCH("Ranged",$E7)),1.05,1)),2),"节点固定")</f>
        <v>0.09</v>
      </c>
      <c r="K7" s="10" t="s">
        <v>787</v>
      </c>
    </row>
    <row r="8" spans="1:11" ht="31.2" customHeight="1">
      <c r="A8" s="9" t="s">
        <v>49</v>
      </c>
      <c r="B8" s="22" t="s">
        <v>777</v>
      </c>
      <c r="C8" s="8">
        <v>15</v>
      </c>
      <c r="D8" s="17">
        <v>0.15</v>
      </c>
      <c r="E8" s="8" t="s">
        <v>54</v>
      </c>
      <c r="F8" s="8" t="s">
        <v>788</v>
      </c>
      <c r="G8" s="8" t="s">
        <v>789</v>
      </c>
      <c r="H8" s="8" t="str">
        <f>"W5 HP "&amp;ROUND(VLOOKUP($A8,'06_怪物主表'!$A:$S,4,FALSE)*1.35*(IF(ISNUMBER(SEARCH("BossLike",$E8)),1.45,1)*IF(ISNUMBER(SEARCH("Boss;",$E8&amp;";")),1.6,1)*IF(ISNUMBER(SEARCH("Elite",$E8)),1.3,1)),0)&amp;" / Atk "&amp;ROUND(VLOOKUP($A8,'06_怪物主表'!$A:$S,5,FALSE)*1.1*(IF(ISNUMBER(SEARCH("BossLike",$E8)),1.18,1)*IF(ISNUMBER(SEARCH("Boss;",$E8&amp;";")),1.25,1)*IF(ISNUMBER(SEARCH("Elite",$E8)),1.18,1)*IF(ISNUMBER(SEARCH("Ranged",$E8)),1.05,1)),0)&amp;" / AS "&amp;ROUND(VLOOKUP($A8,'06_怪物主表'!$A:$S,6,FALSE)*1,0)</f>
        <v>W5 HP 95 / Atk 22 / AS 60</v>
      </c>
      <c r="I8" s="8" t="s">
        <v>790</v>
      </c>
      <c r="J8" s="8">
        <f>IF(ISNUMBER($D8),ROUND(VLOOKUP($A8,'06_怪物主表'!$A:$S,18,FALSE)*$D8*VLOOKUP($A8,'06_怪物主表'!$A:$S,16,FALSE)*1.1*1*(IF(ISNUMBER(SEARCH("BossLike",$E8)),1.18,1)*IF(ISNUMBER(SEARCH("Boss;",$E8&amp;";")),1.25,1)*IF(ISNUMBER(SEARCH("Elite",$E8)),1.18,1)*IF(ISNUMBER(SEARCH("Ranged",$E8)),1.05,1)),2),"节点固定")</f>
        <v>0.2</v>
      </c>
      <c r="K8" s="10" t="s">
        <v>791</v>
      </c>
    </row>
    <row r="9" spans="1:11" ht="46.8" customHeight="1">
      <c r="A9" s="9" t="s">
        <v>43</v>
      </c>
      <c r="B9" s="22" t="s">
        <v>777</v>
      </c>
      <c r="C9" s="8">
        <v>2</v>
      </c>
      <c r="D9" s="17">
        <v>0.02</v>
      </c>
      <c r="E9" s="8" t="s">
        <v>47</v>
      </c>
      <c r="F9" s="8" t="s">
        <v>792</v>
      </c>
      <c r="G9" s="8" t="s">
        <v>769</v>
      </c>
      <c r="H9" s="8" t="str">
        <f>"W5 HP "&amp;ROUND(VLOOKUP($A9,'06_怪物主表'!$A:$S,4,FALSE)*1.35*(IF(ISNUMBER(SEARCH("BossLike",$E9)),1.45,1)*IF(ISNUMBER(SEARCH("Boss;",$E9&amp;";")),1.6,1)*IF(ISNUMBER(SEARCH("Elite",$E9)),1.3,1)),0)&amp;" / Atk "&amp;ROUND(VLOOKUP($A9,'06_怪物主表'!$A:$S,5,FALSE)*1.1*(IF(ISNUMBER(SEARCH("BossLike",$E9)),1.18,1)*IF(ISNUMBER(SEARCH("Boss;",$E9&amp;";")),1.25,1)*IF(ISNUMBER(SEARCH("Elite",$E9)),1.18,1)*IF(ISNUMBER(SEARCH("Ranged",$E9)),1.05,1)),0)&amp;" / AS "&amp;ROUND(VLOOKUP($A9,'06_怪物主表'!$A:$S,6,FALSE)*1,0)</f>
        <v>W5 HP 30 / Atk 18 / AS 42</v>
      </c>
      <c r="I9" s="8" t="s">
        <v>778</v>
      </c>
      <c r="J9" s="8">
        <f>IF(ISNUMBER($D9),ROUND(VLOOKUP($A9,'06_怪物主表'!$A:$S,18,FALSE)*$D9*VLOOKUP($A9,'06_怪物主表'!$A:$S,16,FALSE)*1.1*1*(IF(ISNUMBER(SEARCH("BossLike",$E9)),1.18,1)*IF(ISNUMBER(SEARCH("Boss;",$E9&amp;";")),1.25,1)*IF(ISNUMBER(SEARCH("Elite",$E9)),1.18,1)*IF(ISNUMBER(SEARCH("Ranged",$E9)),1.05,1)),2),"节点固定")</f>
        <v>0.02</v>
      </c>
      <c r="K9" s="10" t="s">
        <v>793</v>
      </c>
    </row>
    <row r="10" spans="1:11" ht="15.6" customHeight="1">
      <c r="A10" s="9" t="s">
        <v>19</v>
      </c>
      <c r="B10" s="22" t="s">
        <v>794</v>
      </c>
      <c r="C10" s="8">
        <v>24</v>
      </c>
      <c r="D10" s="17">
        <v>0.24</v>
      </c>
      <c r="E10" s="8" t="s">
        <v>24</v>
      </c>
      <c r="F10" s="8" t="s">
        <v>795</v>
      </c>
      <c r="G10" s="8" t="s">
        <v>769</v>
      </c>
      <c r="H10" s="8" t="str">
        <f>"W10 HP "&amp;ROUND(VLOOKUP($A10,'06_怪物主表'!$A:$S,4,FALSE)*2.2*(IF(ISNUMBER(SEARCH("BossLike",$E10)),1.45,1)*IF(ISNUMBER(SEARCH("Boss;",$E10&amp;";")),1.6,1)*IF(ISNUMBER(SEARCH("Elite",$E10)),1.3,1)),0)&amp;" / Atk "&amp;ROUND(VLOOKUP($A10,'06_怪物主表'!$A:$S,5,FALSE)*1.32*(IF(ISNUMBER(SEARCH("BossLike",$E10)),1.18,1)*IF(ISNUMBER(SEARCH("Boss;",$E10&amp;";")),1.25,1)*IF(ISNUMBER(SEARCH("Elite",$E10)),1.18,1)*IF(ISNUMBER(SEARCH("Ranged",$E10)),1.05,1)),0)&amp;" / AS "&amp;ROUND(VLOOKUP($A10,'06_怪物主表'!$A:$S,6,FALSE)*1.08,0)</f>
        <v>W10 HP 70 / Atk 20 / AS 78</v>
      </c>
      <c r="I10" s="8" t="s">
        <v>796</v>
      </c>
      <c r="J10" s="8">
        <f>IF(ISNUMBER($D10),ROUND(VLOOKUP($A10,'06_怪物主表'!$A:$S,18,FALSE)*$D10*VLOOKUP($A10,'06_怪物主表'!$A:$S,16,FALSE)*1.32*1.08*(IF(ISNUMBER(SEARCH("BossLike",$E10)),1.18,1)*IF(ISNUMBER(SEARCH("Boss;",$E10&amp;";")),1.25,1)*IF(ISNUMBER(SEARCH("Elite",$E10)),1.18,1)*IF(ISNUMBER(SEARCH("Ranged",$E10)),1.05,1)),2),"节点固定")</f>
        <v>0.32</v>
      </c>
      <c r="K10" s="10" t="s">
        <v>797</v>
      </c>
    </row>
    <row r="11" spans="1:11" ht="15.6" customHeight="1">
      <c r="A11" s="9" t="s">
        <v>26</v>
      </c>
      <c r="B11" s="22" t="s">
        <v>794</v>
      </c>
      <c r="C11" s="8">
        <v>18</v>
      </c>
      <c r="D11" s="17">
        <v>0.18</v>
      </c>
      <c r="E11" s="8" t="s">
        <v>772</v>
      </c>
      <c r="F11" s="8" t="s">
        <v>798</v>
      </c>
      <c r="G11" s="8" t="s">
        <v>774</v>
      </c>
      <c r="H11" s="8" t="str">
        <f>"W10 HP "&amp;ROUND(VLOOKUP($A11,'06_怪物主表'!$A:$S,4,FALSE)*2.2*(IF(ISNUMBER(SEARCH("BossLike",$E11)),1.45,1)*IF(ISNUMBER(SEARCH("Boss;",$E11&amp;";")),1.6,1)*IF(ISNUMBER(SEARCH("Elite",$E11)),1.3,1)),0)&amp;" / Atk "&amp;ROUND(VLOOKUP($A11,'06_怪物主表'!$A:$S,5,FALSE)*1.32*(IF(ISNUMBER(SEARCH("BossLike",$E11)),1.18,1)*IF(ISNUMBER(SEARCH("Boss;",$E11&amp;";")),1.25,1)*IF(ISNUMBER(SEARCH("Elite",$E11)),1.18,1)*IF(ISNUMBER(SEARCH("Ranged",$E11)),1.05,1)),0)&amp;" / AS "&amp;ROUND(VLOOKUP($A11,'06_怪物主表'!$A:$S,6,FALSE)*1.08,0)</f>
        <v>W10 HP 53 / Atk 13 / AS 108</v>
      </c>
      <c r="I11" s="8" t="s">
        <v>799</v>
      </c>
      <c r="J11" s="8">
        <f>IF(ISNUMBER($D11),ROUND(VLOOKUP($A11,'06_怪物主表'!$A:$S,18,FALSE)*$D11*VLOOKUP($A11,'06_怪物主表'!$A:$S,16,FALSE)*1.32*1.08*(IF(ISNUMBER(SEARCH("BossLike",$E11)),1.18,1)*IF(ISNUMBER(SEARCH("Boss;",$E11&amp;";")),1.25,1)*IF(ISNUMBER(SEARCH("Elite",$E11)),1.18,1)*IF(ISNUMBER(SEARCH("Ranged",$E11)),1.05,1)),2),"节点固定")</f>
        <v>0.51</v>
      </c>
      <c r="K11" s="10" t="s">
        <v>800</v>
      </c>
    </row>
    <row r="12" spans="1:11" ht="46.8" customHeight="1">
      <c r="A12" s="9" t="s">
        <v>32</v>
      </c>
      <c r="B12" s="22" t="s">
        <v>794</v>
      </c>
      <c r="C12" s="8">
        <v>11</v>
      </c>
      <c r="D12" s="17">
        <v>0.11</v>
      </c>
      <c r="E12" s="8" t="s">
        <v>36</v>
      </c>
      <c r="F12" s="8" t="s">
        <v>786</v>
      </c>
      <c r="G12" s="8" t="s">
        <v>769</v>
      </c>
      <c r="H12" s="8" t="str">
        <f>"W10 HP "&amp;ROUND(VLOOKUP($A12,'06_怪物主表'!$A:$S,4,FALSE)*2.2*(IF(ISNUMBER(SEARCH("BossLike",$E12)),1.45,1)*IF(ISNUMBER(SEARCH("Boss;",$E12&amp;";")),1.6,1)*IF(ISNUMBER(SEARCH("Elite",$E12)),1.3,1)),0)&amp;" / Atk "&amp;ROUND(VLOOKUP($A12,'06_怪物主表'!$A:$S,5,FALSE)*1.32*(IF(ISNUMBER(SEARCH("BossLike",$E12)),1.18,1)*IF(ISNUMBER(SEARCH("Boss;",$E12&amp;";")),1.25,1)*IF(ISNUMBER(SEARCH("Elite",$E12)),1.18,1)*IF(ISNUMBER(SEARCH("Ranged",$E12)),1.05,1)),0)&amp;" / AS "&amp;ROUND(VLOOKUP($A12,'06_怪物主表'!$A:$S,6,FALSE)*1.08,0)</f>
        <v>W10 HP 70 / Atk 17 / AS 39</v>
      </c>
      <c r="I12" s="8" t="s">
        <v>801</v>
      </c>
      <c r="J12" s="8">
        <f>IF(ISNUMBER($D12),ROUND(VLOOKUP($A12,'06_怪物主表'!$A:$S,18,FALSE)*$D12*VLOOKUP($A12,'06_怪物主表'!$A:$S,16,FALSE)*1.32*1.08*(IF(ISNUMBER(SEARCH("BossLike",$E12)),1.18,1)*IF(ISNUMBER(SEARCH("Boss;",$E12&amp;";")),1.25,1)*IF(ISNUMBER(SEARCH("Elite",$E12)),1.18,1)*IF(ISNUMBER(SEARCH("Ranged",$E12)),1.05,1)),2),"节点固定")</f>
        <v>0.08</v>
      </c>
      <c r="K12" s="10" t="s">
        <v>802</v>
      </c>
    </row>
    <row r="13" spans="1:11" ht="46.8" customHeight="1">
      <c r="A13" s="9" t="s">
        <v>38</v>
      </c>
      <c r="B13" s="22" t="s">
        <v>794</v>
      </c>
      <c r="C13" s="8">
        <v>12</v>
      </c>
      <c r="D13" s="17">
        <v>0.12</v>
      </c>
      <c r="E13" s="8" t="s">
        <v>36</v>
      </c>
      <c r="F13" s="8" t="s">
        <v>786</v>
      </c>
      <c r="G13" s="8" t="s">
        <v>769</v>
      </c>
      <c r="H13" s="8" t="str">
        <f>"W10 HP "&amp;ROUND(VLOOKUP($A13,'06_怪物主表'!$A:$S,4,FALSE)*2.2*(IF(ISNUMBER(SEARCH("BossLike",$E13)),1.45,1)*IF(ISNUMBER(SEARCH("Boss;",$E13&amp;";")),1.6,1)*IF(ISNUMBER(SEARCH("Elite",$E13)),1.3,1)),0)&amp;" / Atk "&amp;ROUND(VLOOKUP($A13,'06_怪物主表'!$A:$S,5,FALSE)*1.32*(IF(ISNUMBER(SEARCH("BossLike",$E13)),1.18,1)*IF(ISNUMBER(SEARCH("Boss;",$E13&amp;";")),1.25,1)*IF(ISNUMBER(SEARCH("Elite",$E13)),1.18,1)*IF(ISNUMBER(SEARCH("Ranged",$E13)),1.05,1)),0)&amp;" / AS "&amp;ROUND(VLOOKUP($A13,'06_怪物主表'!$A:$S,6,FALSE)*1.08,0)</f>
        <v>W10 HP 66 / Atk 15 / AS 52</v>
      </c>
      <c r="I13" s="8" t="s">
        <v>801</v>
      </c>
      <c r="J13" s="8">
        <f>IF(ISNUMBER($D13),ROUND(VLOOKUP($A13,'06_怪物主表'!$A:$S,18,FALSE)*$D13*VLOOKUP($A13,'06_怪物主表'!$A:$S,16,FALSE)*1.32*1.08*(IF(ISNUMBER(SEARCH("BossLike",$E13)),1.18,1)*IF(ISNUMBER(SEARCH("Boss;",$E13&amp;";")),1.25,1)*IF(ISNUMBER(SEARCH("Elite",$E13)),1.18,1)*IF(ISNUMBER(SEARCH("Ranged",$E13)),1.05,1)),2),"节点固定")</f>
        <v>0.13</v>
      </c>
      <c r="K13" s="10" t="s">
        <v>803</v>
      </c>
    </row>
    <row r="14" spans="1:11" ht="46.8" customHeight="1">
      <c r="A14" s="9" t="s">
        <v>43</v>
      </c>
      <c r="B14" s="22" t="s">
        <v>794</v>
      </c>
      <c r="C14" s="8">
        <v>6</v>
      </c>
      <c r="D14" s="17">
        <v>0.06</v>
      </c>
      <c r="E14" s="8" t="s">
        <v>47</v>
      </c>
      <c r="F14" s="8" t="s">
        <v>804</v>
      </c>
      <c r="G14" s="8" t="s">
        <v>769</v>
      </c>
      <c r="H14" s="8" t="str">
        <f>"W10 HP "&amp;ROUND(VLOOKUP($A14,'06_怪物主表'!$A:$S,4,FALSE)*2.2*(IF(ISNUMBER(SEARCH("BossLike",$E14)),1.45,1)*IF(ISNUMBER(SEARCH("Boss;",$E14&amp;";")),1.6,1)*IF(ISNUMBER(SEARCH("Elite",$E14)),1.3,1)),0)&amp;" / Atk "&amp;ROUND(VLOOKUP($A14,'06_怪物主表'!$A:$S,5,FALSE)*1.32*(IF(ISNUMBER(SEARCH("BossLike",$E14)),1.18,1)*IF(ISNUMBER(SEARCH("Boss;",$E14&amp;";")),1.25,1)*IF(ISNUMBER(SEARCH("Elite",$E14)),1.18,1)*IF(ISNUMBER(SEARCH("Ranged",$E14)),1.05,1)),0)&amp;" / AS "&amp;ROUND(VLOOKUP($A14,'06_怪物主表'!$A:$S,6,FALSE)*1.08,0)</f>
        <v>W10 HP 48 / Atk 22 / AS 45</v>
      </c>
      <c r="I14" s="8" t="s">
        <v>796</v>
      </c>
      <c r="J14" s="8">
        <f>IF(ISNUMBER($D14),ROUND(VLOOKUP($A14,'06_怪物主表'!$A:$S,18,FALSE)*$D14*VLOOKUP($A14,'06_怪物主表'!$A:$S,16,FALSE)*1.32*1.08*(IF(ISNUMBER(SEARCH("BossLike",$E14)),1.18,1)*IF(ISNUMBER(SEARCH("Boss;",$E14&amp;";")),1.25,1)*IF(ISNUMBER(SEARCH("Elite",$E14)),1.18,1)*IF(ISNUMBER(SEARCH("Ranged",$E14)),1.05,1)),2),"节点固定")</f>
        <v>0.09</v>
      </c>
      <c r="K14" s="10" t="s">
        <v>805</v>
      </c>
    </row>
    <row r="15" spans="1:11" ht="31.2" customHeight="1">
      <c r="A15" s="9" t="s">
        <v>49</v>
      </c>
      <c r="B15" s="22" t="s">
        <v>794</v>
      </c>
      <c r="C15" s="8">
        <v>14</v>
      </c>
      <c r="D15" s="17">
        <v>0.14000000000000001</v>
      </c>
      <c r="E15" s="8" t="s">
        <v>54</v>
      </c>
      <c r="F15" s="8" t="s">
        <v>788</v>
      </c>
      <c r="G15" s="8" t="s">
        <v>789</v>
      </c>
      <c r="H15" s="8" t="str">
        <f>"W10 HP "&amp;ROUND(VLOOKUP($A15,'06_怪物主表'!$A:$S,4,FALSE)*2.2*(IF(ISNUMBER(SEARCH("BossLike",$E15)),1.45,1)*IF(ISNUMBER(SEARCH("Boss;",$E15&amp;";")),1.6,1)*IF(ISNUMBER(SEARCH("Elite",$E15)),1.3,1)),0)&amp;" / Atk "&amp;ROUND(VLOOKUP($A15,'06_怪物主表'!$A:$S,5,FALSE)*1.32*(IF(ISNUMBER(SEARCH("BossLike",$E15)),1.18,1)*IF(ISNUMBER(SEARCH("Boss;",$E15&amp;";")),1.25,1)*IF(ISNUMBER(SEARCH("Elite",$E15)),1.18,1)*IF(ISNUMBER(SEARCH("Ranged",$E15)),1.05,1)),0)&amp;" / AS "&amp;ROUND(VLOOKUP($A15,'06_怪物主表'!$A:$S,6,FALSE)*1.08,0)</f>
        <v>W10 HP 154 / Atk 26 / AS 65</v>
      </c>
      <c r="I15" s="8" t="s">
        <v>806</v>
      </c>
      <c r="J15" s="8">
        <f>IF(ISNUMBER($D15),ROUND(VLOOKUP($A15,'06_怪物主表'!$A:$S,18,FALSE)*$D15*VLOOKUP($A15,'06_怪物主表'!$A:$S,16,FALSE)*1.32*1.08*(IF(ISNUMBER(SEARCH("BossLike",$E15)),1.18,1)*IF(ISNUMBER(SEARCH("Boss;",$E15&amp;";")),1.25,1)*IF(ISNUMBER(SEARCH("Elite",$E15)),1.18,1)*IF(ISNUMBER(SEARCH("Ranged",$E15)),1.05,1)),2),"节点固定")</f>
        <v>0.24</v>
      </c>
      <c r="K15" s="10" t="s">
        <v>807</v>
      </c>
    </row>
    <row r="16" spans="1:11" ht="31.2" customHeight="1">
      <c r="A16" s="9" t="s">
        <v>56</v>
      </c>
      <c r="B16" s="22" t="s">
        <v>794</v>
      </c>
      <c r="C16" s="8">
        <v>9</v>
      </c>
      <c r="D16" s="17">
        <v>0.09</v>
      </c>
      <c r="E16" s="8" t="s">
        <v>54</v>
      </c>
      <c r="F16" s="8" t="s">
        <v>808</v>
      </c>
      <c r="G16" s="8" t="s">
        <v>789</v>
      </c>
      <c r="H16" s="8" t="str">
        <f>"W10 HP "&amp;ROUND(VLOOKUP($A16,'06_怪物主表'!$A:$S,4,FALSE)*2.2*(IF(ISNUMBER(SEARCH("BossLike",$E16)),1.45,1)*IF(ISNUMBER(SEARCH("Boss;",$E16&amp;";")),1.6,1)*IF(ISNUMBER(SEARCH("Elite",$E16)),1.3,1)),0)&amp;" / Atk "&amp;ROUND(VLOOKUP($A16,'06_怪物主表'!$A:$S,5,FALSE)*1.32*(IF(ISNUMBER(SEARCH("BossLike",$E16)),1.18,1)*IF(ISNUMBER(SEARCH("Boss;",$E16&amp;";")),1.25,1)*IF(ISNUMBER(SEARCH("Elite",$E16)),1.18,1)*IF(ISNUMBER(SEARCH("Ranged",$E16)),1.05,1)),0)&amp;" / AS "&amp;ROUND(VLOOKUP($A16,'06_怪物主表'!$A:$S,6,FALSE)*1.08,0)</f>
        <v>W10 HP 150 / Atk 24 / AS 63</v>
      </c>
      <c r="I16" s="8" t="s">
        <v>806</v>
      </c>
      <c r="J16" s="8">
        <f>IF(ISNUMBER($D16),ROUND(VLOOKUP($A16,'06_怪物主表'!$A:$S,18,FALSE)*$D16*VLOOKUP($A16,'06_怪物主表'!$A:$S,16,FALSE)*1.32*1.08*(IF(ISNUMBER(SEARCH("BossLike",$E16)),1.18,1)*IF(ISNUMBER(SEARCH("Boss;",$E16&amp;";")),1.25,1)*IF(ISNUMBER(SEARCH("Elite",$E16)),1.18,1)*IF(ISNUMBER(SEARCH("Ranged",$E16)),1.05,1)),2),"节点固定")</f>
        <v>0.17</v>
      </c>
      <c r="K16" s="10" t="s">
        <v>809</v>
      </c>
    </row>
    <row r="17" spans="1:11" ht="31.2" customHeight="1">
      <c r="A17" s="9" t="s">
        <v>62</v>
      </c>
      <c r="B17" s="22" t="s">
        <v>794</v>
      </c>
      <c r="C17" s="8">
        <v>5</v>
      </c>
      <c r="D17" s="17">
        <v>0.05</v>
      </c>
      <c r="E17" s="8" t="s">
        <v>54</v>
      </c>
      <c r="F17" s="8" t="s">
        <v>810</v>
      </c>
      <c r="G17" s="8" t="s">
        <v>789</v>
      </c>
      <c r="H17" s="8" t="str">
        <f>"W10 HP "&amp;ROUND(VLOOKUP($A17,'06_怪物主表'!$A:$S,4,FALSE)*2.2*(IF(ISNUMBER(SEARCH("BossLike",$E17)),1.45,1)*IF(ISNUMBER(SEARCH("Boss;",$E17&amp;";")),1.6,1)*IF(ISNUMBER(SEARCH("Elite",$E17)),1.3,1)),0)&amp;" / Atk "&amp;ROUND(VLOOKUP($A17,'06_怪物主表'!$A:$S,5,FALSE)*1.32*(IF(ISNUMBER(SEARCH("BossLike",$E17)),1.18,1)*IF(ISNUMBER(SEARCH("Boss;",$E17&amp;";")),1.25,1)*IF(ISNUMBER(SEARCH("Elite",$E17)),1.18,1)*IF(ISNUMBER(SEARCH("Ranged",$E17)),1.05,1)),0)&amp;" / AS "&amp;ROUND(VLOOKUP($A17,'06_怪物主表'!$A:$S,6,FALSE)*1.08,0)</f>
        <v>W10 HP 242 / Atk 34 / AS 45</v>
      </c>
      <c r="I17" s="8" t="s">
        <v>811</v>
      </c>
      <c r="J17" s="8">
        <f>IF(ISNUMBER($D17),ROUND(VLOOKUP($A17,'06_怪物主表'!$A:$S,18,FALSE)*$D17*VLOOKUP($A17,'06_怪物主表'!$A:$S,16,FALSE)*1.32*1.08*(IF(ISNUMBER(SEARCH("BossLike",$E17)),1.18,1)*IF(ISNUMBER(SEARCH("Boss;",$E17&amp;";")),1.25,1)*IF(ISNUMBER(SEARCH("Elite",$E17)),1.18,1)*IF(ISNUMBER(SEARCH("Ranged",$E17)),1.05,1)),2),"节点固定")</f>
        <v>0.09</v>
      </c>
      <c r="K17" s="10" t="s">
        <v>812</v>
      </c>
    </row>
    <row r="18" spans="1:11" ht="31.2" customHeight="1">
      <c r="A18" s="9" t="s">
        <v>75</v>
      </c>
      <c r="B18" s="22" t="s">
        <v>794</v>
      </c>
      <c r="C18" s="8">
        <v>0</v>
      </c>
      <c r="D18" s="17">
        <v>4.0000000000000001E-3</v>
      </c>
      <c r="E18" s="8" t="s">
        <v>80</v>
      </c>
      <c r="F18" s="8" t="s">
        <v>813</v>
      </c>
      <c r="G18" s="8" t="s">
        <v>814</v>
      </c>
      <c r="H18" s="8" t="str">
        <f>"W10 HP "&amp;ROUND(VLOOKUP($A18,'06_怪物主表'!$A:$S,4,FALSE)*2.2*(IF(ISNUMBER(SEARCH("BossLike",$E18)),1.45,1)*IF(ISNUMBER(SEARCH("Boss;",$E18&amp;";")),1.6,1)*IF(ISNUMBER(SEARCH("Elite",$E18)),1.3,1)),0)&amp;" / Atk "&amp;ROUND(VLOOKUP($A18,'06_怪物主表'!$A:$S,5,FALSE)*1.32*(IF(ISNUMBER(SEARCH("BossLike",$E18)),1.18,1)*IF(ISNUMBER(SEARCH("Boss;",$E18&amp;";")),1.25,1)*IF(ISNUMBER(SEARCH("Elite",$E18)),1.18,1)*IF(ISNUMBER(SEARCH("Ranged",$E18)),1.05,1)),0)&amp;" / AS "&amp;ROUND(VLOOKUP($A18,'06_怪物主表'!$A:$S,6,FALSE)*1.08,0)</f>
        <v>W10 HP 11165 / Atk 65 / AS 38</v>
      </c>
      <c r="I18" s="8" t="s">
        <v>815</v>
      </c>
      <c r="J18" s="8">
        <f>IF(ISNUMBER($D18),ROUND(VLOOKUP($A18,'06_怪物主表'!$A:$S,18,FALSE)*$D18*VLOOKUP($A18,'06_怪物主表'!$A:$S,16,FALSE)*1.32*1.08*(IF(ISNUMBER(SEARCH("BossLike",$E18)),1.18,1)*IF(ISNUMBER(SEARCH("Boss;",$E18&amp;";")),1.25,1)*IF(ISNUMBER(SEARCH("Elite",$E18)),1.18,1)*IF(ISNUMBER(SEARCH("Ranged",$E18)),1.05,1)),2),"节点固定")</f>
        <v>0.03</v>
      </c>
      <c r="K18" s="10" t="s">
        <v>816</v>
      </c>
    </row>
    <row r="19" spans="1:11" ht="15.6" customHeight="1">
      <c r="A19" s="9" t="s">
        <v>19</v>
      </c>
      <c r="B19" s="22" t="s">
        <v>817</v>
      </c>
      <c r="C19" s="8">
        <v>18</v>
      </c>
      <c r="D19" s="17">
        <v>0.18</v>
      </c>
      <c r="E19" s="8" t="s">
        <v>24</v>
      </c>
      <c r="F19" s="8" t="s">
        <v>795</v>
      </c>
      <c r="G19" s="8" t="s">
        <v>769</v>
      </c>
      <c r="H19" s="8" t="str">
        <f>"W15 HP "&amp;ROUND(VLOOKUP($A19,'06_怪物主表'!$A:$S,4,FALSE)*3.8*(IF(ISNUMBER(SEARCH("BossLike",$E19)),1.45,1)*IF(ISNUMBER(SEARCH("Boss;",$E19&amp;";")),1.6,1)*IF(ISNUMBER(SEARCH("Elite",$E19)),1.3,1)),0)&amp;" / Atk "&amp;ROUND(VLOOKUP($A19,'06_怪物主表'!$A:$S,5,FALSE)*1.68*(IF(ISNUMBER(SEARCH("BossLike",$E19)),1.18,1)*IF(ISNUMBER(SEARCH("Boss;",$E19&amp;";")),1.25,1)*IF(ISNUMBER(SEARCH("Elite",$E19)),1.18,1)*IF(ISNUMBER(SEARCH("Ranged",$E19)),1.05,1)),0)&amp;" / AS "&amp;ROUND(VLOOKUP($A19,'06_怪物主表'!$A:$S,6,FALSE)*1.16,0)</f>
        <v>W15 HP 122 / Atk 25 / AS 84</v>
      </c>
      <c r="I19" s="8" t="s">
        <v>775</v>
      </c>
      <c r="J19" s="8">
        <f>IF(ISNUMBER($D19),ROUND(VLOOKUP($A19,'06_怪物主表'!$A:$S,18,FALSE)*$D19*VLOOKUP($A19,'06_怪物主表'!$A:$S,16,FALSE)*1.68*1.16*(IF(ISNUMBER(SEARCH("BossLike",$E19)),1.18,1)*IF(ISNUMBER(SEARCH("Boss;",$E19&amp;";")),1.25,1)*IF(ISNUMBER(SEARCH("Elite",$E19)),1.18,1)*IF(ISNUMBER(SEARCH("Ranged",$E19)),1.05,1)),2),"节点固定")</f>
        <v>0.33</v>
      </c>
      <c r="K19" s="10" t="s">
        <v>818</v>
      </c>
    </row>
    <row r="20" spans="1:11" ht="15.6" customHeight="1">
      <c r="A20" s="9" t="s">
        <v>26</v>
      </c>
      <c r="B20" s="22" t="s">
        <v>817</v>
      </c>
      <c r="C20" s="8">
        <v>14</v>
      </c>
      <c r="D20" s="17">
        <v>0.14000000000000001</v>
      </c>
      <c r="E20" s="8" t="s">
        <v>772</v>
      </c>
      <c r="F20" s="8" t="s">
        <v>780</v>
      </c>
      <c r="G20" s="8" t="s">
        <v>774</v>
      </c>
      <c r="H20" s="8" t="str">
        <f>"W15 HP "&amp;ROUND(VLOOKUP($A20,'06_怪物主表'!$A:$S,4,FALSE)*3.8*(IF(ISNUMBER(SEARCH("BossLike",$E20)),1.45,1)*IF(ISNUMBER(SEARCH("Boss;",$E20&amp;";")),1.6,1)*IF(ISNUMBER(SEARCH("Elite",$E20)),1.3,1)),0)&amp;" / Atk "&amp;ROUND(VLOOKUP($A20,'06_怪物主表'!$A:$S,5,FALSE)*1.68*(IF(ISNUMBER(SEARCH("BossLike",$E20)),1.18,1)*IF(ISNUMBER(SEARCH("Boss;",$E20&amp;";")),1.25,1)*IF(ISNUMBER(SEARCH("Elite",$E20)),1.18,1)*IF(ISNUMBER(SEARCH("Ranged",$E20)),1.05,1)),0)&amp;" / AS "&amp;ROUND(VLOOKUP($A20,'06_怪物主表'!$A:$S,6,FALSE)*1.16,0)</f>
        <v>W15 HP 91 / Atk 17 / AS 116</v>
      </c>
      <c r="I20" s="8" t="s">
        <v>819</v>
      </c>
      <c r="J20" s="8">
        <f>IF(ISNUMBER($D20),ROUND(VLOOKUP($A20,'06_怪物主表'!$A:$S,18,FALSE)*$D20*VLOOKUP($A20,'06_怪物主表'!$A:$S,16,FALSE)*1.68*1.16*(IF(ISNUMBER(SEARCH("BossLike",$E20)),1.18,1)*IF(ISNUMBER(SEARCH("Boss;",$E20&amp;";")),1.25,1)*IF(ISNUMBER(SEARCH("Elite",$E20)),1.18,1)*IF(ISNUMBER(SEARCH("Ranged",$E20)),1.05,1)),2),"节点固定")</f>
        <v>0.55000000000000004</v>
      </c>
      <c r="K20" s="10" t="s">
        <v>820</v>
      </c>
    </row>
    <row r="21" spans="1:11" ht="31.2" customHeight="1">
      <c r="A21" s="9" t="s">
        <v>32</v>
      </c>
      <c r="B21" s="22" t="s">
        <v>817</v>
      </c>
      <c r="C21" s="8">
        <v>8</v>
      </c>
      <c r="D21" s="17">
        <v>0.08</v>
      </c>
      <c r="E21" s="8" t="s">
        <v>36</v>
      </c>
      <c r="F21" s="8" t="s">
        <v>786</v>
      </c>
      <c r="G21" s="8" t="s">
        <v>769</v>
      </c>
      <c r="H21" s="8" t="str">
        <f>"W15 HP "&amp;ROUND(VLOOKUP($A21,'06_怪物主表'!$A:$S,4,FALSE)*3.8*(IF(ISNUMBER(SEARCH("BossLike",$E21)),1.45,1)*IF(ISNUMBER(SEARCH("Boss;",$E21&amp;";")),1.6,1)*IF(ISNUMBER(SEARCH("Elite",$E21)),1.3,1)),0)&amp;" / Atk "&amp;ROUND(VLOOKUP($A21,'06_怪物主表'!$A:$S,5,FALSE)*1.68*(IF(ISNUMBER(SEARCH("BossLike",$E21)),1.18,1)*IF(ISNUMBER(SEARCH("Boss;",$E21&amp;";")),1.25,1)*IF(ISNUMBER(SEARCH("Elite",$E21)),1.18,1)*IF(ISNUMBER(SEARCH("Ranged",$E21)),1.05,1)),0)&amp;" / AS "&amp;ROUND(VLOOKUP($A21,'06_怪物主表'!$A:$S,6,FALSE)*1.16,0)</f>
        <v>W15 HP 122 / Atk 21 / AS 42</v>
      </c>
      <c r="I21" s="8" t="s">
        <v>796</v>
      </c>
      <c r="J21" s="8">
        <f>IF(ISNUMBER($D21),ROUND(VLOOKUP($A21,'06_怪物主表'!$A:$S,18,FALSE)*$D21*VLOOKUP($A21,'06_怪物主表'!$A:$S,16,FALSE)*1.68*1.16*(IF(ISNUMBER(SEARCH("BossLike",$E21)),1.18,1)*IF(ISNUMBER(SEARCH("Boss;",$E21&amp;";")),1.25,1)*IF(ISNUMBER(SEARCH("Elite",$E21)),1.18,1)*IF(ISNUMBER(SEARCH("Ranged",$E21)),1.05,1)),2),"节点固定")</f>
        <v>0.08</v>
      </c>
      <c r="K21" s="10" t="s">
        <v>821</v>
      </c>
    </row>
    <row r="22" spans="1:11" ht="31.2" customHeight="1">
      <c r="A22" s="9" t="s">
        <v>38</v>
      </c>
      <c r="B22" s="22" t="s">
        <v>817</v>
      </c>
      <c r="C22" s="8">
        <v>12</v>
      </c>
      <c r="D22" s="17">
        <v>0.12</v>
      </c>
      <c r="E22" s="8" t="s">
        <v>36</v>
      </c>
      <c r="F22" s="8" t="s">
        <v>786</v>
      </c>
      <c r="G22" s="8" t="s">
        <v>769</v>
      </c>
      <c r="H22" s="8" t="str">
        <f>"W15 HP "&amp;ROUND(VLOOKUP($A22,'06_怪物主表'!$A:$S,4,FALSE)*3.8*(IF(ISNUMBER(SEARCH("BossLike",$E22)),1.45,1)*IF(ISNUMBER(SEARCH("Boss;",$E22&amp;";")),1.6,1)*IF(ISNUMBER(SEARCH("Elite",$E22)),1.3,1)),0)&amp;" / Atk "&amp;ROUND(VLOOKUP($A22,'06_怪物主表'!$A:$S,5,FALSE)*1.68*(IF(ISNUMBER(SEARCH("BossLike",$E22)),1.18,1)*IF(ISNUMBER(SEARCH("Boss;",$E22&amp;";")),1.25,1)*IF(ISNUMBER(SEARCH("Elite",$E22)),1.18,1)*IF(ISNUMBER(SEARCH("Ranged",$E22)),1.05,1)),0)&amp;" / AS "&amp;ROUND(VLOOKUP($A22,'06_怪物主表'!$A:$S,6,FALSE)*1.16,0)</f>
        <v>W15 HP 114 / Atk 19 / AS 56</v>
      </c>
      <c r="I22" s="8" t="s">
        <v>796</v>
      </c>
      <c r="J22" s="8">
        <f>IF(ISNUMBER($D22),ROUND(VLOOKUP($A22,'06_怪物主表'!$A:$S,18,FALSE)*$D22*VLOOKUP($A22,'06_怪物主表'!$A:$S,16,FALSE)*1.68*1.16*(IF(ISNUMBER(SEARCH("BossLike",$E22)),1.18,1)*IF(ISNUMBER(SEARCH("Boss;",$E22&amp;";")),1.25,1)*IF(ISNUMBER(SEARCH("Elite",$E22)),1.18,1)*IF(ISNUMBER(SEARCH("Ranged",$E22)),1.05,1)),2),"节点固定")</f>
        <v>0.18</v>
      </c>
      <c r="K22" s="10" t="s">
        <v>822</v>
      </c>
    </row>
    <row r="23" spans="1:11" ht="46.8" customHeight="1">
      <c r="A23" s="9" t="s">
        <v>43</v>
      </c>
      <c r="B23" s="22" t="s">
        <v>817</v>
      </c>
      <c r="C23" s="8">
        <v>8</v>
      </c>
      <c r="D23" s="17">
        <v>0.08</v>
      </c>
      <c r="E23" s="8" t="s">
        <v>47</v>
      </c>
      <c r="F23" s="8" t="s">
        <v>804</v>
      </c>
      <c r="G23" s="8" t="s">
        <v>769</v>
      </c>
      <c r="H23" s="8" t="str">
        <f>"W15 HP "&amp;ROUND(VLOOKUP($A23,'06_怪物主表'!$A:$S,4,FALSE)*3.8*(IF(ISNUMBER(SEARCH("BossLike",$E23)),1.45,1)*IF(ISNUMBER(SEARCH("Boss;",$E23&amp;";")),1.6,1)*IF(ISNUMBER(SEARCH("Elite",$E23)),1.3,1)),0)&amp;" / Atk "&amp;ROUND(VLOOKUP($A23,'06_怪物主表'!$A:$S,5,FALSE)*1.68*(IF(ISNUMBER(SEARCH("BossLike",$E23)),1.18,1)*IF(ISNUMBER(SEARCH("Boss;",$E23&amp;";")),1.25,1)*IF(ISNUMBER(SEARCH("Elite",$E23)),1.18,1)*IF(ISNUMBER(SEARCH("Ranged",$E23)),1.05,1)),0)&amp;" / AS "&amp;ROUND(VLOOKUP($A23,'06_怪物主表'!$A:$S,6,FALSE)*1.16,0)</f>
        <v>W15 HP 84 / Atk 28 / AS 49</v>
      </c>
      <c r="I23" s="8" t="s">
        <v>775</v>
      </c>
      <c r="J23" s="8">
        <f>IF(ISNUMBER($D23),ROUND(VLOOKUP($A23,'06_怪物主表'!$A:$S,18,FALSE)*$D23*VLOOKUP($A23,'06_怪物主表'!$A:$S,16,FALSE)*1.68*1.16*(IF(ISNUMBER(SEARCH("BossLike",$E23)),1.18,1)*IF(ISNUMBER(SEARCH("Boss;",$E23&amp;";")),1.25,1)*IF(ISNUMBER(SEARCH("Elite",$E23)),1.18,1)*IF(ISNUMBER(SEARCH("Ranged",$E23)),1.05,1)),2),"节点固定")</f>
        <v>0.16</v>
      </c>
      <c r="K23" s="10" t="s">
        <v>823</v>
      </c>
    </row>
    <row r="24" spans="1:11" ht="31.2" customHeight="1">
      <c r="A24" s="9" t="s">
        <v>49</v>
      </c>
      <c r="B24" s="22" t="s">
        <v>817</v>
      </c>
      <c r="C24" s="8">
        <v>10</v>
      </c>
      <c r="D24" s="17">
        <v>0.1</v>
      </c>
      <c r="E24" s="8" t="s">
        <v>54</v>
      </c>
      <c r="F24" s="8" t="s">
        <v>788</v>
      </c>
      <c r="G24" s="8" t="s">
        <v>789</v>
      </c>
      <c r="H24" s="8" t="str">
        <f>"W15 HP "&amp;ROUND(VLOOKUP($A24,'06_怪物主表'!$A:$S,4,FALSE)*3.8*(IF(ISNUMBER(SEARCH("BossLike",$E24)),1.45,1)*IF(ISNUMBER(SEARCH("Boss;",$E24&amp;";")),1.6,1)*IF(ISNUMBER(SEARCH("Elite",$E24)),1.3,1)),0)&amp;" / Atk "&amp;ROUND(VLOOKUP($A24,'06_怪物主表'!$A:$S,5,FALSE)*1.68*(IF(ISNUMBER(SEARCH("BossLike",$E24)),1.18,1)*IF(ISNUMBER(SEARCH("Boss;",$E24&amp;";")),1.25,1)*IF(ISNUMBER(SEARCH("Elite",$E24)),1.18,1)*IF(ISNUMBER(SEARCH("Ranged",$E24)),1.05,1)),0)&amp;" / AS "&amp;ROUND(VLOOKUP($A24,'06_怪物主表'!$A:$S,6,FALSE)*1.16,0)</f>
        <v>W15 HP 266 / Atk 34 / AS 70</v>
      </c>
      <c r="I24" s="8" t="s">
        <v>824</v>
      </c>
      <c r="J24" s="8">
        <f>IF(ISNUMBER($D24),ROUND(VLOOKUP($A24,'06_怪物主表'!$A:$S,18,FALSE)*$D24*VLOOKUP($A24,'06_怪物主表'!$A:$S,16,FALSE)*1.68*1.16*(IF(ISNUMBER(SEARCH("BossLike",$E24)),1.18,1)*IF(ISNUMBER(SEARCH("Boss;",$E24&amp;";")),1.25,1)*IF(ISNUMBER(SEARCH("Elite",$E24)),1.18,1)*IF(ISNUMBER(SEARCH("Ranged",$E24)),1.05,1)),2),"节点固定")</f>
        <v>0.23</v>
      </c>
      <c r="K24" s="10" t="s">
        <v>825</v>
      </c>
    </row>
    <row r="25" spans="1:11" ht="31.2" customHeight="1">
      <c r="A25" s="9" t="s">
        <v>56</v>
      </c>
      <c r="B25" s="22" t="s">
        <v>817</v>
      </c>
      <c r="C25" s="8">
        <v>14</v>
      </c>
      <c r="D25" s="17">
        <v>0.14000000000000001</v>
      </c>
      <c r="E25" s="8" t="s">
        <v>54</v>
      </c>
      <c r="F25" s="8" t="s">
        <v>826</v>
      </c>
      <c r="G25" s="8" t="s">
        <v>789</v>
      </c>
      <c r="H25" s="8" t="str">
        <f>"W15 HP "&amp;ROUND(VLOOKUP($A25,'06_怪物主表'!$A:$S,4,FALSE)*3.8*(IF(ISNUMBER(SEARCH("BossLike",$E25)),1.45,1)*IF(ISNUMBER(SEARCH("Boss;",$E25&amp;";")),1.6,1)*IF(ISNUMBER(SEARCH("Elite",$E25)),1.3,1)),0)&amp;" / Atk "&amp;ROUND(VLOOKUP($A25,'06_怪物主表'!$A:$S,5,FALSE)*1.68*(IF(ISNUMBER(SEARCH("BossLike",$E25)),1.18,1)*IF(ISNUMBER(SEARCH("Boss;",$E25&amp;";")),1.25,1)*IF(ISNUMBER(SEARCH("Elite",$E25)),1.18,1)*IF(ISNUMBER(SEARCH("Ranged",$E25)),1.05,1)),0)&amp;" / AS "&amp;ROUND(VLOOKUP($A25,'06_怪物主表'!$A:$S,6,FALSE)*1.16,0)</f>
        <v>W15 HP 258 / Atk 30 / AS 67</v>
      </c>
      <c r="I25" s="8" t="s">
        <v>824</v>
      </c>
      <c r="J25" s="8">
        <f>IF(ISNUMBER($D25),ROUND(VLOOKUP($A25,'06_怪物主表'!$A:$S,18,FALSE)*$D25*VLOOKUP($A25,'06_怪物主表'!$A:$S,16,FALSE)*1.68*1.16*(IF(ISNUMBER(SEARCH("BossLike",$E25)),1.18,1)*IF(ISNUMBER(SEARCH("Boss;",$E25&amp;";")),1.25,1)*IF(ISNUMBER(SEARCH("Elite",$E25)),1.18,1)*IF(ISNUMBER(SEARCH("Ranged",$E25)),1.05,1)),2),"节点固定")</f>
        <v>0.36</v>
      </c>
      <c r="K25" s="10" t="s">
        <v>827</v>
      </c>
    </row>
    <row r="26" spans="1:11" ht="31.2" customHeight="1">
      <c r="A26" s="9" t="s">
        <v>62</v>
      </c>
      <c r="B26" s="22" t="s">
        <v>817</v>
      </c>
      <c r="C26" s="8">
        <v>10</v>
      </c>
      <c r="D26" s="17">
        <v>0.1</v>
      </c>
      <c r="E26" s="8" t="s">
        <v>54</v>
      </c>
      <c r="F26" s="8" t="s">
        <v>828</v>
      </c>
      <c r="G26" s="8" t="s">
        <v>789</v>
      </c>
      <c r="H26" s="8" t="str">
        <f>"W15 HP "&amp;ROUND(VLOOKUP($A26,'06_怪物主表'!$A:$S,4,FALSE)*3.8*(IF(ISNUMBER(SEARCH("BossLike",$E26)),1.45,1)*IF(ISNUMBER(SEARCH("Boss;",$E26&amp;";")),1.6,1)*IF(ISNUMBER(SEARCH("Elite",$E26)),1.3,1)),0)&amp;" / Atk "&amp;ROUND(VLOOKUP($A26,'06_怪物主表'!$A:$S,5,FALSE)*1.68*(IF(ISNUMBER(SEARCH("BossLike",$E26)),1.18,1)*IF(ISNUMBER(SEARCH("Boss;",$E26&amp;";")),1.25,1)*IF(ISNUMBER(SEARCH("Elite",$E26)),1.18,1)*IF(ISNUMBER(SEARCH("Ranged",$E26)),1.05,1)),0)&amp;" / AS "&amp;ROUND(VLOOKUP($A26,'06_怪物主表'!$A:$S,6,FALSE)*1.16,0)</f>
        <v>W15 HP 418 / Atk 44 / AS 49</v>
      </c>
      <c r="I26" s="8" t="s">
        <v>829</v>
      </c>
      <c r="J26" s="8">
        <f>IF(ISNUMBER($D26),ROUND(VLOOKUP($A26,'06_怪物主表'!$A:$S,18,FALSE)*$D26*VLOOKUP($A26,'06_怪物主表'!$A:$S,16,FALSE)*1.68*1.16*(IF(ISNUMBER(SEARCH("BossLike",$E26)),1.18,1)*IF(ISNUMBER(SEARCH("Boss;",$E26&amp;";")),1.25,1)*IF(ISNUMBER(SEARCH("Elite",$E26)),1.18,1)*IF(ISNUMBER(SEARCH("Ranged",$E26)),1.05,1)),2),"节点固定")</f>
        <v>0.24</v>
      </c>
      <c r="K26" s="10" t="s">
        <v>830</v>
      </c>
    </row>
    <row r="27" spans="1:11" ht="31.2" customHeight="1">
      <c r="A27" s="9" t="s">
        <v>68</v>
      </c>
      <c r="B27" s="22" t="s">
        <v>817</v>
      </c>
      <c r="C27" s="8">
        <v>6</v>
      </c>
      <c r="D27" s="17">
        <v>0.06</v>
      </c>
      <c r="E27" s="8" t="s">
        <v>73</v>
      </c>
      <c r="F27" s="8" t="s">
        <v>810</v>
      </c>
      <c r="G27" s="8" t="s">
        <v>831</v>
      </c>
      <c r="H27" s="8" t="str">
        <f>"W15 HP "&amp;ROUND(VLOOKUP($A27,'06_怪物主表'!$A:$S,4,FALSE)*3.8*(IF(ISNUMBER(SEARCH("BossLike",$E27)),1.45,1)*IF(ISNUMBER(SEARCH("Boss;",$E27&amp;";")),1.6,1)*IF(ISNUMBER(SEARCH("Elite",$E27)),1.3,1)),0)&amp;" / Atk "&amp;ROUND(VLOOKUP($A27,'06_怪物主表'!$A:$S,5,FALSE)*1.68*(IF(ISNUMBER(SEARCH("BossLike",$E27)),1.18,1)*IF(ISNUMBER(SEARCH("Boss;",$E27&amp;";")),1.25,1)*IF(ISNUMBER(SEARCH("Elite",$E27)),1.18,1)*IF(ISNUMBER(SEARCH("Ranged",$E27)),1.05,1)),0)&amp;" / AS "&amp;ROUND(VLOOKUP($A27,'06_怪物主表'!$A:$S,6,FALSE)*1.16,0)</f>
        <v>W15 HP 741 / Atk 67 / AS 44</v>
      </c>
      <c r="I27" s="8" t="s">
        <v>832</v>
      </c>
      <c r="J27" s="8">
        <f>IF(ISNUMBER($D27),ROUND(VLOOKUP($A27,'06_怪物主表'!$A:$S,18,FALSE)*$D27*VLOOKUP($A27,'06_怪物主表'!$A:$S,16,FALSE)*1.68*1.16*(IF(ISNUMBER(SEARCH("BossLike",$E27)),1.18,1)*IF(ISNUMBER(SEARCH("Boss;",$E27&amp;";")),1.25,1)*IF(ISNUMBER(SEARCH("Elite",$E27)),1.18,1)*IF(ISNUMBER(SEARCH("Ranged",$E27)),1.05,1)),2),"节点固定")</f>
        <v>0.37</v>
      </c>
      <c r="K27" s="10" t="s">
        <v>833</v>
      </c>
    </row>
    <row r="28" spans="1:11" ht="31.2" customHeight="1">
      <c r="A28" s="9" t="s">
        <v>75</v>
      </c>
      <c r="B28" s="22" t="s">
        <v>817</v>
      </c>
      <c r="C28" s="8">
        <v>0</v>
      </c>
      <c r="D28" s="17">
        <v>4.0000000000000001E-3</v>
      </c>
      <c r="E28" s="8" t="s">
        <v>80</v>
      </c>
      <c r="F28" s="8" t="s">
        <v>813</v>
      </c>
      <c r="G28" s="8" t="s">
        <v>814</v>
      </c>
      <c r="H28" s="8" t="str">
        <f>"W15 HP "&amp;ROUND(VLOOKUP($A28,'06_怪物主表'!$A:$S,4,FALSE)*3.8*(IF(ISNUMBER(SEARCH("BossLike",$E28)),1.45,1)*IF(ISNUMBER(SEARCH("Boss;",$E28&amp;";")),1.6,1)*IF(ISNUMBER(SEARCH("Elite",$E28)),1.3,1)),0)&amp;" / Atk "&amp;ROUND(VLOOKUP($A28,'06_怪物主表'!$A:$S,5,FALSE)*1.68*(IF(ISNUMBER(SEARCH("BossLike",$E28)),1.18,1)*IF(ISNUMBER(SEARCH("Boss;",$E28&amp;";")),1.25,1)*IF(ISNUMBER(SEARCH("Elite",$E28)),1.18,1)*IF(ISNUMBER(SEARCH("Ranged",$E28)),1.05,1)),0)&amp;" / AS "&amp;ROUND(VLOOKUP($A28,'06_怪物主表'!$A:$S,6,FALSE)*1.16,0)</f>
        <v>W15 HP 19285 / Atk 83 / AS 41</v>
      </c>
      <c r="I28" s="8" t="s">
        <v>834</v>
      </c>
      <c r="J28" s="8">
        <f>IF(ISNUMBER($D28),ROUND(VLOOKUP($A28,'06_怪物主表'!$A:$S,18,FALSE)*$D28*VLOOKUP($A28,'06_怪物主表'!$A:$S,16,FALSE)*1.68*1.16*(IF(ISNUMBER(SEARCH("BossLike",$E28)),1.18,1)*IF(ISNUMBER(SEARCH("Boss;",$E28&amp;";")),1.25,1)*IF(ISNUMBER(SEARCH("Elite",$E28)),1.18,1)*IF(ISNUMBER(SEARCH("Ranged",$E28)),1.05,1)),2),"节点固定")</f>
        <v>0.04</v>
      </c>
      <c r="K28" s="10" t="s">
        <v>816</v>
      </c>
    </row>
    <row r="29" spans="1:11" ht="15.6" customHeight="1">
      <c r="A29" s="9" t="s">
        <v>19</v>
      </c>
      <c r="B29" s="22" t="s">
        <v>835</v>
      </c>
      <c r="C29" s="8">
        <v>15</v>
      </c>
      <c r="D29" s="17">
        <v>0.15</v>
      </c>
      <c r="E29" s="8" t="s">
        <v>24</v>
      </c>
      <c r="F29" s="8" t="s">
        <v>795</v>
      </c>
      <c r="G29" s="8" t="s">
        <v>769</v>
      </c>
      <c r="H29" s="8" t="str">
        <f>"W20 HP "&amp;ROUND(VLOOKUP($A29,'06_怪物主表'!$A:$S,4,FALSE)*6*(IF(ISNUMBER(SEARCH("BossLike",$E29)),1.45,1)*IF(ISNUMBER(SEARCH("Boss;",$E29&amp;";")),1.6,1)*IF(ISNUMBER(SEARCH("Elite",$E29)),1.3,1)),0)&amp;" / Atk "&amp;ROUND(VLOOKUP($A29,'06_怪物主表'!$A:$S,5,FALSE)*2.1*(IF(ISNUMBER(SEARCH("BossLike",$E29)),1.18,1)*IF(ISNUMBER(SEARCH("Boss;",$E29&amp;";")),1.25,1)*IF(ISNUMBER(SEARCH("Elite",$E29)),1.18,1)*IF(ISNUMBER(SEARCH("Ranged",$E29)),1.05,1)),0)&amp;" / AS "&amp;ROUND(VLOOKUP($A29,'06_怪物主表'!$A:$S,6,FALSE)*1.25,0)</f>
        <v>W20 HP 192 / Atk 32 / AS 90</v>
      </c>
      <c r="I29" s="8" t="s">
        <v>836</v>
      </c>
      <c r="J29" s="8">
        <f>IF(ISNUMBER($D29),ROUND(VLOOKUP($A29,'06_怪物主表'!$A:$S,18,FALSE)*$D29*VLOOKUP($A29,'06_怪物主表'!$A:$S,16,FALSE)*2.1*1.25*(IF(ISNUMBER(SEARCH("BossLike",$E29)),1.18,1)*IF(ISNUMBER(SEARCH("Boss;",$E29&amp;";")),1.25,1)*IF(ISNUMBER(SEARCH("Elite",$E29)),1.18,1)*IF(ISNUMBER(SEARCH("Ranged",$E29)),1.05,1)),2),"节点固定")</f>
        <v>0.37</v>
      </c>
      <c r="K29" s="10" t="s">
        <v>837</v>
      </c>
    </row>
    <row r="30" spans="1:11" ht="15.6" customHeight="1">
      <c r="A30" s="9" t="s">
        <v>26</v>
      </c>
      <c r="B30" s="22" t="s">
        <v>835</v>
      </c>
      <c r="C30" s="8">
        <v>11</v>
      </c>
      <c r="D30" s="17">
        <v>0.11</v>
      </c>
      <c r="E30" s="8" t="s">
        <v>772</v>
      </c>
      <c r="F30" s="8" t="s">
        <v>780</v>
      </c>
      <c r="G30" s="8" t="s">
        <v>774</v>
      </c>
      <c r="H30" s="8" t="str">
        <f>"W20 HP "&amp;ROUND(VLOOKUP($A30,'06_怪物主表'!$A:$S,4,FALSE)*6*(IF(ISNUMBER(SEARCH("BossLike",$E30)),1.45,1)*IF(ISNUMBER(SEARCH("Boss;",$E30&amp;";")),1.6,1)*IF(ISNUMBER(SEARCH("Elite",$E30)),1.3,1)),0)&amp;" / Atk "&amp;ROUND(VLOOKUP($A30,'06_怪物主表'!$A:$S,5,FALSE)*2.1*(IF(ISNUMBER(SEARCH("BossLike",$E30)),1.18,1)*IF(ISNUMBER(SEARCH("Boss;",$E30&amp;";")),1.25,1)*IF(ISNUMBER(SEARCH("Elite",$E30)),1.18,1)*IF(ISNUMBER(SEARCH("Ranged",$E30)),1.05,1)),0)&amp;" / AS "&amp;ROUND(VLOOKUP($A30,'06_怪物主表'!$A:$S,6,FALSE)*1.25,0)</f>
        <v>W20 HP 144 / Atk 21 / AS 125</v>
      </c>
      <c r="I30" s="8" t="s">
        <v>838</v>
      </c>
      <c r="J30" s="8">
        <f>IF(ISNUMBER($D30),ROUND(VLOOKUP($A30,'06_怪物主表'!$A:$S,18,FALSE)*$D30*VLOOKUP($A30,'06_怪物主表'!$A:$S,16,FALSE)*2.1*1.25*(IF(ISNUMBER(SEARCH("BossLike",$E30)),1.18,1)*IF(ISNUMBER(SEARCH("Boss;",$E30&amp;";")),1.25,1)*IF(ISNUMBER(SEARCH("Elite",$E30)),1.18,1)*IF(ISNUMBER(SEARCH("Ranged",$E30)),1.05,1)),2),"节点固定")</f>
        <v>0.57999999999999996</v>
      </c>
      <c r="K30" s="10" t="s">
        <v>839</v>
      </c>
    </row>
    <row r="31" spans="1:11" ht="31.2" customHeight="1">
      <c r="A31" s="9" t="s">
        <v>32</v>
      </c>
      <c r="B31" s="22" t="s">
        <v>835</v>
      </c>
      <c r="C31" s="8">
        <v>6</v>
      </c>
      <c r="D31" s="17">
        <v>0.06</v>
      </c>
      <c r="E31" s="8" t="s">
        <v>36</v>
      </c>
      <c r="F31" s="8" t="s">
        <v>786</v>
      </c>
      <c r="G31" s="8" t="s">
        <v>769</v>
      </c>
      <c r="H31" s="8" t="str">
        <f>"W20 HP "&amp;ROUND(VLOOKUP($A31,'06_怪物主表'!$A:$S,4,FALSE)*6*(IF(ISNUMBER(SEARCH("BossLike",$E31)),1.45,1)*IF(ISNUMBER(SEARCH("Boss;",$E31&amp;";")),1.6,1)*IF(ISNUMBER(SEARCH("Elite",$E31)),1.3,1)),0)&amp;" / Atk "&amp;ROUND(VLOOKUP($A31,'06_怪物主表'!$A:$S,5,FALSE)*2.1*(IF(ISNUMBER(SEARCH("BossLike",$E31)),1.18,1)*IF(ISNUMBER(SEARCH("Boss;",$E31&amp;";")),1.25,1)*IF(ISNUMBER(SEARCH("Elite",$E31)),1.18,1)*IF(ISNUMBER(SEARCH("Ranged",$E31)),1.05,1)),0)&amp;" / AS "&amp;ROUND(VLOOKUP($A31,'06_怪物主表'!$A:$S,6,FALSE)*1.25,0)</f>
        <v>W20 HP 192 / Atk 26 / AS 45</v>
      </c>
      <c r="I31" s="8" t="s">
        <v>775</v>
      </c>
      <c r="J31" s="8">
        <f>IF(ISNUMBER($D31),ROUND(VLOOKUP($A31,'06_怪物主表'!$A:$S,18,FALSE)*$D31*VLOOKUP($A31,'06_怪物主表'!$A:$S,16,FALSE)*2.1*1.25*(IF(ISNUMBER(SEARCH("BossLike",$E31)),1.18,1)*IF(ISNUMBER(SEARCH("Boss;",$E31&amp;";")),1.25,1)*IF(ISNUMBER(SEARCH("Elite",$E31)),1.18,1)*IF(ISNUMBER(SEARCH("Ranged",$E31)),1.05,1)),2),"节点固定")</f>
        <v>0.08</v>
      </c>
      <c r="K31" s="10" t="s">
        <v>821</v>
      </c>
    </row>
    <row r="32" spans="1:11" ht="46.8" customHeight="1">
      <c r="A32" s="9" t="s">
        <v>38</v>
      </c>
      <c r="B32" s="22" t="s">
        <v>835</v>
      </c>
      <c r="C32" s="8">
        <v>10</v>
      </c>
      <c r="D32" s="17">
        <v>0.1</v>
      </c>
      <c r="E32" s="8" t="s">
        <v>36</v>
      </c>
      <c r="F32" s="8" t="s">
        <v>786</v>
      </c>
      <c r="G32" s="8" t="s">
        <v>769</v>
      </c>
      <c r="H32" s="8" t="str">
        <f>"W20 HP "&amp;ROUND(VLOOKUP($A32,'06_怪物主表'!$A:$S,4,FALSE)*6*(IF(ISNUMBER(SEARCH("BossLike",$E32)),1.45,1)*IF(ISNUMBER(SEARCH("Boss;",$E32&amp;";")),1.6,1)*IF(ISNUMBER(SEARCH("Elite",$E32)),1.3,1)),0)&amp;" / Atk "&amp;ROUND(VLOOKUP($A32,'06_怪物主表'!$A:$S,5,FALSE)*2.1*(IF(ISNUMBER(SEARCH("BossLike",$E32)),1.18,1)*IF(ISNUMBER(SEARCH("Boss;",$E32&amp;";")),1.25,1)*IF(ISNUMBER(SEARCH("Elite",$E32)),1.18,1)*IF(ISNUMBER(SEARCH("Ranged",$E32)),1.05,1)),0)&amp;" / AS "&amp;ROUND(VLOOKUP($A32,'06_怪物主表'!$A:$S,6,FALSE)*1.25,0)</f>
        <v>W20 HP 180 / Atk 24 / AS 60</v>
      </c>
      <c r="I32" s="8" t="s">
        <v>775</v>
      </c>
      <c r="J32" s="8">
        <f>IF(ISNUMBER($D32),ROUND(VLOOKUP($A32,'06_怪物主表'!$A:$S,18,FALSE)*$D32*VLOOKUP($A32,'06_怪物主表'!$A:$S,16,FALSE)*2.1*1.25*(IF(ISNUMBER(SEARCH("BossLike",$E32)),1.18,1)*IF(ISNUMBER(SEARCH("Boss;",$E32&amp;";")),1.25,1)*IF(ISNUMBER(SEARCH("Elite",$E32)),1.18,1)*IF(ISNUMBER(SEARCH("Ranged",$E32)),1.05,1)),2),"节点固定")</f>
        <v>0.2</v>
      </c>
      <c r="K32" s="10" t="s">
        <v>840</v>
      </c>
    </row>
    <row r="33" spans="1:11" ht="46.8" customHeight="1">
      <c r="A33" s="9" t="s">
        <v>43</v>
      </c>
      <c r="B33" s="22" t="s">
        <v>835</v>
      </c>
      <c r="C33" s="8">
        <v>8</v>
      </c>
      <c r="D33" s="17">
        <v>0.08</v>
      </c>
      <c r="E33" s="8" t="s">
        <v>47</v>
      </c>
      <c r="F33" s="8" t="s">
        <v>804</v>
      </c>
      <c r="G33" s="8" t="s">
        <v>769</v>
      </c>
      <c r="H33" s="8" t="str">
        <f>"W20 HP "&amp;ROUND(VLOOKUP($A33,'06_怪物主表'!$A:$S,4,FALSE)*6*(IF(ISNUMBER(SEARCH("BossLike",$E33)),1.45,1)*IF(ISNUMBER(SEARCH("Boss;",$E33&amp;";")),1.6,1)*IF(ISNUMBER(SEARCH("Elite",$E33)),1.3,1)),0)&amp;" / Atk "&amp;ROUND(VLOOKUP($A33,'06_怪物主表'!$A:$S,5,FALSE)*2.1*(IF(ISNUMBER(SEARCH("BossLike",$E33)),1.18,1)*IF(ISNUMBER(SEARCH("Boss;",$E33&amp;";")),1.25,1)*IF(ISNUMBER(SEARCH("Elite",$E33)),1.18,1)*IF(ISNUMBER(SEARCH("Ranged",$E33)),1.05,1)),0)&amp;" / AS "&amp;ROUND(VLOOKUP($A33,'06_怪物主表'!$A:$S,6,FALSE)*1.25,0)</f>
        <v>W20 HP 132 / Atk 35 / AS 53</v>
      </c>
      <c r="I33" s="8" t="s">
        <v>836</v>
      </c>
      <c r="J33" s="8">
        <f>IF(ISNUMBER($D33),ROUND(VLOOKUP($A33,'06_怪物主表'!$A:$S,18,FALSE)*$D33*VLOOKUP($A33,'06_怪物主表'!$A:$S,16,FALSE)*2.1*1.25*(IF(ISNUMBER(SEARCH("BossLike",$E33)),1.18,1)*IF(ISNUMBER(SEARCH("Boss;",$E33&amp;";")),1.25,1)*IF(ISNUMBER(SEARCH("Elite",$E33)),1.18,1)*IF(ISNUMBER(SEARCH("Ranged",$E33)),1.05,1)),2),"节点固定")</f>
        <v>0.21</v>
      </c>
      <c r="K33" s="10" t="s">
        <v>841</v>
      </c>
    </row>
    <row r="34" spans="1:11" ht="31.2" customHeight="1">
      <c r="A34" s="9" t="s">
        <v>49</v>
      </c>
      <c r="B34" s="22" t="s">
        <v>835</v>
      </c>
      <c r="C34" s="8">
        <v>7</v>
      </c>
      <c r="D34" s="17">
        <v>7.0000000000000007E-2</v>
      </c>
      <c r="E34" s="8" t="s">
        <v>54</v>
      </c>
      <c r="F34" s="8" t="s">
        <v>842</v>
      </c>
      <c r="G34" s="8" t="s">
        <v>789</v>
      </c>
      <c r="H34" s="8" t="str">
        <f>"W20 HP "&amp;ROUND(VLOOKUP($A34,'06_怪物主表'!$A:$S,4,FALSE)*6*(IF(ISNUMBER(SEARCH("BossLike",$E34)),1.45,1)*IF(ISNUMBER(SEARCH("Boss;",$E34&amp;";")),1.6,1)*IF(ISNUMBER(SEARCH("Elite",$E34)),1.3,1)),0)&amp;" / Atk "&amp;ROUND(VLOOKUP($A34,'06_怪物主表'!$A:$S,5,FALSE)*2.1*(IF(ISNUMBER(SEARCH("BossLike",$E34)),1.18,1)*IF(ISNUMBER(SEARCH("Boss;",$E34&amp;";")),1.25,1)*IF(ISNUMBER(SEARCH("Elite",$E34)),1.18,1)*IF(ISNUMBER(SEARCH("Ranged",$E34)),1.05,1)),0)&amp;" / AS "&amp;ROUND(VLOOKUP($A34,'06_怪物主表'!$A:$S,6,FALSE)*1.25,0)</f>
        <v>W20 HP 420 / Atk 42 / AS 75</v>
      </c>
      <c r="I34" s="8" t="s">
        <v>843</v>
      </c>
      <c r="J34" s="8">
        <f>IF(ISNUMBER($D34),ROUND(VLOOKUP($A34,'06_怪物主表'!$A:$S,18,FALSE)*$D34*VLOOKUP($A34,'06_怪物主表'!$A:$S,16,FALSE)*2.1*1.25*(IF(ISNUMBER(SEARCH("BossLike",$E34)),1.18,1)*IF(ISNUMBER(SEARCH("Boss;",$E34&amp;";")),1.25,1)*IF(ISNUMBER(SEARCH("Elite",$E34)),1.18,1)*IF(ISNUMBER(SEARCH("Ranged",$E34)),1.05,1)),2),"节点固定")</f>
        <v>0.22</v>
      </c>
      <c r="K34" s="10" t="s">
        <v>844</v>
      </c>
    </row>
    <row r="35" spans="1:11" ht="31.2" customHeight="1">
      <c r="A35" s="9" t="s">
        <v>56</v>
      </c>
      <c r="B35" s="22" t="s">
        <v>835</v>
      </c>
      <c r="C35" s="8">
        <v>15</v>
      </c>
      <c r="D35" s="17">
        <v>0.15</v>
      </c>
      <c r="E35" s="8" t="s">
        <v>54</v>
      </c>
      <c r="F35" s="8" t="s">
        <v>826</v>
      </c>
      <c r="G35" s="8" t="s">
        <v>789</v>
      </c>
      <c r="H35" s="8" t="str">
        <f>"W20 HP "&amp;ROUND(VLOOKUP($A35,'06_怪物主表'!$A:$S,4,FALSE)*6*(IF(ISNUMBER(SEARCH("BossLike",$E35)),1.45,1)*IF(ISNUMBER(SEARCH("Boss;",$E35&amp;";")),1.6,1)*IF(ISNUMBER(SEARCH("Elite",$E35)),1.3,1)),0)&amp;" / Atk "&amp;ROUND(VLOOKUP($A35,'06_怪物主表'!$A:$S,5,FALSE)*2.1*(IF(ISNUMBER(SEARCH("BossLike",$E35)),1.18,1)*IF(ISNUMBER(SEARCH("Boss;",$E35&amp;";")),1.25,1)*IF(ISNUMBER(SEARCH("Elite",$E35)),1.18,1)*IF(ISNUMBER(SEARCH("Ranged",$E35)),1.05,1)),0)&amp;" / AS "&amp;ROUND(VLOOKUP($A35,'06_怪物主表'!$A:$S,6,FALSE)*1.25,0)</f>
        <v>W20 HP 408 / Atk 38 / AS 73</v>
      </c>
      <c r="I35" s="8" t="s">
        <v>843</v>
      </c>
      <c r="J35" s="8">
        <f>IF(ISNUMBER($D35),ROUND(VLOOKUP($A35,'06_怪物主表'!$A:$S,18,FALSE)*$D35*VLOOKUP($A35,'06_怪物主表'!$A:$S,16,FALSE)*2.1*1.25*(IF(ISNUMBER(SEARCH("BossLike",$E35)),1.18,1)*IF(ISNUMBER(SEARCH("Boss;",$E35&amp;";")),1.25,1)*IF(ISNUMBER(SEARCH("Elite",$E35)),1.18,1)*IF(ISNUMBER(SEARCH("Ranged",$E35)),1.05,1)),2),"节点固定")</f>
        <v>0.52</v>
      </c>
      <c r="K35" s="10" t="s">
        <v>845</v>
      </c>
    </row>
    <row r="36" spans="1:11" ht="31.2" customHeight="1">
      <c r="A36" s="9" t="s">
        <v>62</v>
      </c>
      <c r="B36" s="22" t="s">
        <v>835</v>
      </c>
      <c r="C36" s="8">
        <v>13</v>
      </c>
      <c r="D36" s="17">
        <v>0.13</v>
      </c>
      <c r="E36" s="8" t="s">
        <v>54</v>
      </c>
      <c r="F36" s="8" t="s">
        <v>828</v>
      </c>
      <c r="G36" s="8" t="s">
        <v>789</v>
      </c>
      <c r="H36" s="8" t="str">
        <f>"W20 HP "&amp;ROUND(VLOOKUP($A36,'06_怪物主表'!$A:$S,4,FALSE)*6*(IF(ISNUMBER(SEARCH("BossLike",$E36)),1.45,1)*IF(ISNUMBER(SEARCH("Boss;",$E36&amp;";")),1.6,1)*IF(ISNUMBER(SEARCH("Elite",$E36)),1.3,1)),0)&amp;" / Atk "&amp;ROUND(VLOOKUP($A36,'06_怪物主表'!$A:$S,5,FALSE)*2.1*(IF(ISNUMBER(SEARCH("BossLike",$E36)),1.18,1)*IF(ISNUMBER(SEARCH("Boss;",$E36&amp;";")),1.25,1)*IF(ISNUMBER(SEARCH("Elite",$E36)),1.18,1)*IF(ISNUMBER(SEARCH("Ranged",$E36)),1.05,1)),0)&amp;" / AS "&amp;ROUND(VLOOKUP($A36,'06_怪物主表'!$A:$S,6,FALSE)*1.25,0)</f>
        <v>W20 HP 660 / Atk 55 / AS 53</v>
      </c>
      <c r="I36" s="8" t="s">
        <v>846</v>
      </c>
      <c r="J36" s="8">
        <f>IF(ISNUMBER($D36),ROUND(VLOOKUP($A36,'06_怪物主表'!$A:$S,18,FALSE)*$D36*VLOOKUP($A36,'06_怪物主表'!$A:$S,16,FALSE)*2.1*1.25*(IF(ISNUMBER(SEARCH("BossLike",$E36)),1.18,1)*IF(ISNUMBER(SEARCH("Boss;",$E36&amp;";")),1.25,1)*IF(ISNUMBER(SEARCH("Elite",$E36)),1.18,1)*IF(ISNUMBER(SEARCH("Ranged",$E36)),1.05,1)),2),"节点固定")</f>
        <v>0.42</v>
      </c>
      <c r="K36" s="10" t="s">
        <v>847</v>
      </c>
    </row>
    <row r="37" spans="1:11" ht="31.2" customHeight="1">
      <c r="A37" s="9" t="s">
        <v>68</v>
      </c>
      <c r="B37" s="22" t="s">
        <v>835</v>
      </c>
      <c r="C37" s="8">
        <v>8</v>
      </c>
      <c r="D37" s="17">
        <v>0.08</v>
      </c>
      <c r="E37" s="8" t="s">
        <v>73</v>
      </c>
      <c r="F37" s="8" t="s">
        <v>848</v>
      </c>
      <c r="G37" s="8" t="s">
        <v>831</v>
      </c>
      <c r="H37" s="8" t="str">
        <f>"W20 HP "&amp;ROUND(VLOOKUP($A37,'06_怪物主表'!$A:$S,4,FALSE)*6*(IF(ISNUMBER(SEARCH("BossLike",$E37)),1.45,1)*IF(ISNUMBER(SEARCH("Boss;",$E37&amp;";")),1.6,1)*IF(ISNUMBER(SEARCH("Elite",$E37)),1.3,1)),0)&amp;" / Atk "&amp;ROUND(VLOOKUP($A37,'06_怪物主表'!$A:$S,5,FALSE)*2.1*(IF(ISNUMBER(SEARCH("BossLike",$E37)),1.18,1)*IF(ISNUMBER(SEARCH("Boss;",$E37&amp;";")),1.25,1)*IF(ISNUMBER(SEARCH("Elite",$E37)),1.18,1)*IF(ISNUMBER(SEARCH("Ranged",$E37)),1.05,1)),0)&amp;" / AS "&amp;ROUND(VLOOKUP($A37,'06_怪物主表'!$A:$S,6,FALSE)*1.25,0)</f>
        <v>W20 HP 1170 / Atk 84 / AS 48</v>
      </c>
      <c r="I37" s="8" t="s">
        <v>849</v>
      </c>
      <c r="J37" s="8">
        <f>IF(ISNUMBER($D37),ROUND(VLOOKUP($A37,'06_怪物主表'!$A:$S,18,FALSE)*$D37*VLOOKUP($A37,'06_怪物主表'!$A:$S,16,FALSE)*2.1*1.25*(IF(ISNUMBER(SEARCH("BossLike",$E37)),1.18,1)*IF(ISNUMBER(SEARCH("Boss;",$E37&amp;";")),1.25,1)*IF(ISNUMBER(SEARCH("Elite",$E37)),1.18,1)*IF(ISNUMBER(SEARCH("Ranged",$E37)),1.05,1)),2),"节点固定")</f>
        <v>0.67</v>
      </c>
      <c r="K37" s="10" t="s">
        <v>850</v>
      </c>
    </row>
    <row r="38" spans="1:11" ht="31.2" customHeight="1">
      <c r="A38" s="14" t="s">
        <v>75</v>
      </c>
      <c r="B38" s="23" t="s">
        <v>835</v>
      </c>
      <c r="C38" s="15">
        <v>0</v>
      </c>
      <c r="D38" s="18">
        <v>3.0000000000000001E-3</v>
      </c>
      <c r="E38" s="15" t="s">
        <v>851</v>
      </c>
      <c r="F38" s="15" t="s">
        <v>813</v>
      </c>
      <c r="G38" s="15" t="s">
        <v>814</v>
      </c>
      <c r="H38" s="15" t="str">
        <f>"W20 HP "&amp;ROUND(VLOOKUP($A38,'06_怪物主表'!$A:$S,4,FALSE)*6*(IF(ISNUMBER(SEARCH("BossLike",$E38)),1.45,1)*IF(ISNUMBER(SEARCH("Boss;",$E38&amp;";")),1.6,1)*IF(ISNUMBER(SEARCH("Elite",$E38)),1.3,1)),0)&amp;" / Atk "&amp;ROUND(VLOOKUP($A38,'06_怪物主表'!$A:$S,5,FALSE)*2.1*(IF(ISNUMBER(SEARCH("BossLike",$E38)),1.18,1)*IF(ISNUMBER(SEARCH("Boss;",$E38&amp;";")),1.25,1)*IF(ISNUMBER(SEARCH("Elite",$E38)),1.18,1)*IF(ISNUMBER(SEARCH("Ranged",$E38)),1.05,1)),0)&amp;" / AS "&amp;ROUND(VLOOKUP($A38,'06_怪物主表'!$A:$S,6,FALSE)*1.25,0)</f>
        <v>W20 HP 48720 / Atk 130 / AS 44</v>
      </c>
      <c r="I38" s="15" t="s">
        <v>852</v>
      </c>
      <c r="J38" s="15">
        <f>IF(ISNUMBER($D38),ROUND(VLOOKUP($A38,'06_怪物主表'!$A:$S,18,FALSE)*$D38*VLOOKUP($A38,'06_怪物主表'!$A:$S,16,FALSE)*2.1*1.25*(IF(ISNUMBER(SEARCH("BossLike",$E38)),1.18,1)*IF(ISNUMBER(SEARCH("Boss;",$E38&amp;";")),1.25,1)*IF(ISNUMBER(SEARCH("Elite",$E38)),1.18,1)*IF(ISNUMBER(SEARCH("Ranged",$E38)),1.05,1)),2),"节点固定")</f>
        <v>0.05</v>
      </c>
      <c r="K38" s="16" t="s">
        <v>816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10" customWidth="1"/>
    <col min="3" max="3" width="34" customWidth="1"/>
    <col min="4" max="5" width="12" customWidth="1"/>
    <col min="6" max="6" width="44" customWidth="1"/>
    <col min="7" max="9" width="14" customWidth="1"/>
    <col min="10" max="10" width="16" customWidth="1"/>
    <col min="11" max="11" width="34" customWidth="1"/>
    <col min="12" max="12" width="24" customWidth="1"/>
    <col min="13" max="13" width="30" customWidth="1"/>
    <col min="14" max="14" width="26" customWidth="1"/>
    <col min="15" max="15" width="32" customWidth="1"/>
    <col min="16" max="16" width="34" customWidth="1"/>
  </cols>
  <sheetData>
    <row r="1" spans="1:16" ht="30" customHeight="1">
      <c r="A1" s="4" t="s">
        <v>853</v>
      </c>
      <c r="B1" s="4" t="s">
        <v>854</v>
      </c>
      <c r="C1" s="4" t="s">
        <v>855</v>
      </c>
      <c r="D1" s="4" t="s">
        <v>856</v>
      </c>
      <c r="E1" s="4" t="s">
        <v>857</v>
      </c>
      <c r="F1" s="4" t="s">
        <v>858</v>
      </c>
      <c r="G1" s="4" t="s">
        <v>859</v>
      </c>
      <c r="H1" s="4" t="s">
        <v>860</v>
      </c>
      <c r="I1" s="4" t="s">
        <v>861</v>
      </c>
      <c r="J1" s="4" t="s">
        <v>862</v>
      </c>
      <c r="K1" s="4" t="s">
        <v>863</v>
      </c>
      <c r="L1" s="4" t="s">
        <v>864</v>
      </c>
      <c r="M1" s="4" t="s">
        <v>865</v>
      </c>
      <c r="N1" s="4" t="s">
        <v>762</v>
      </c>
      <c r="O1" s="4" t="s">
        <v>866</v>
      </c>
      <c r="P1" s="4" t="s">
        <v>18</v>
      </c>
    </row>
    <row r="2" spans="1:16" ht="31.2" customHeight="1">
      <c r="A2" s="5" t="s">
        <v>867</v>
      </c>
      <c r="B2" s="5">
        <v>40</v>
      </c>
      <c r="C2" s="5" t="s">
        <v>868</v>
      </c>
      <c r="D2" s="5">
        <v>50</v>
      </c>
      <c r="E2" s="5">
        <f t="shared" ref="E2:E21" si="0">ROUND(D2/B2*60,0)</f>
        <v>75</v>
      </c>
      <c r="F2" s="5" t="s">
        <v>869</v>
      </c>
      <c r="G2" s="5" t="s">
        <v>794</v>
      </c>
      <c r="H2" s="5">
        <v>1400</v>
      </c>
      <c r="I2" s="5">
        <f t="shared" ref="I2:I21" si="1">ROUND(H2/B2,0)</f>
        <v>35</v>
      </c>
      <c r="J2" s="5">
        <v>180</v>
      </c>
      <c r="K2" s="5" t="s">
        <v>870</v>
      </c>
      <c r="L2" s="5" t="s">
        <v>871</v>
      </c>
      <c r="M2" s="5" t="s">
        <v>871</v>
      </c>
      <c r="N2" s="5" t="s">
        <v>872</v>
      </c>
      <c r="O2" s="5" t="s">
        <v>873</v>
      </c>
      <c r="P2" s="5" t="s">
        <v>874</v>
      </c>
    </row>
    <row r="3" spans="1:16" ht="31.2" customHeight="1">
      <c r="A3" s="5" t="s">
        <v>875</v>
      </c>
      <c r="B3" s="5">
        <v>40</v>
      </c>
      <c r="C3" s="5" t="s">
        <v>876</v>
      </c>
      <c r="D3" s="5">
        <v>62</v>
      </c>
      <c r="E3" s="5">
        <f t="shared" si="0"/>
        <v>93</v>
      </c>
      <c r="F3" s="5" t="s">
        <v>869</v>
      </c>
      <c r="G3" s="5" t="s">
        <v>877</v>
      </c>
      <c r="H3" s="5">
        <v>2000</v>
      </c>
      <c r="I3" s="5">
        <f t="shared" si="1"/>
        <v>50</v>
      </c>
      <c r="J3" s="5">
        <v>240</v>
      </c>
      <c r="K3" s="5" t="s">
        <v>878</v>
      </c>
      <c r="L3" s="5" t="s">
        <v>871</v>
      </c>
      <c r="M3" s="5" t="s">
        <v>871</v>
      </c>
      <c r="N3" s="5" t="s">
        <v>872</v>
      </c>
      <c r="O3" s="5" t="s">
        <v>879</v>
      </c>
      <c r="P3" s="5" t="s">
        <v>880</v>
      </c>
    </row>
    <row r="4" spans="1:16" ht="31.2" customHeight="1">
      <c r="A4" s="5" t="s">
        <v>881</v>
      </c>
      <c r="B4" s="5">
        <v>40</v>
      </c>
      <c r="C4" s="5" t="s">
        <v>882</v>
      </c>
      <c r="D4" s="5">
        <v>75</v>
      </c>
      <c r="E4" s="5">
        <f t="shared" si="0"/>
        <v>113</v>
      </c>
      <c r="F4" s="5" t="s">
        <v>869</v>
      </c>
      <c r="G4" s="5" t="s">
        <v>883</v>
      </c>
      <c r="H4" s="5">
        <v>2900</v>
      </c>
      <c r="I4" s="5">
        <f t="shared" si="1"/>
        <v>73</v>
      </c>
      <c r="J4" s="5">
        <v>330</v>
      </c>
      <c r="K4" s="5" t="s">
        <v>884</v>
      </c>
      <c r="L4" s="5" t="s">
        <v>871</v>
      </c>
      <c r="M4" s="5" t="s">
        <v>871</v>
      </c>
      <c r="N4" s="5" t="s">
        <v>885</v>
      </c>
      <c r="O4" s="5" t="s">
        <v>886</v>
      </c>
      <c r="P4" s="5" t="s">
        <v>887</v>
      </c>
    </row>
    <row r="5" spans="1:16" ht="31.2" customHeight="1">
      <c r="A5" s="5" t="s">
        <v>888</v>
      </c>
      <c r="B5" s="5">
        <v>40</v>
      </c>
      <c r="C5" s="5" t="s">
        <v>889</v>
      </c>
      <c r="D5" s="5">
        <v>85</v>
      </c>
      <c r="E5" s="5">
        <f t="shared" si="0"/>
        <v>128</v>
      </c>
      <c r="F5" s="5" t="s">
        <v>869</v>
      </c>
      <c r="G5" s="5" t="s">
        <v>890</v>
      </c>
      <c r="H5" s="5">
        <v>4100</v>
      </c>
      <c r="I5" s="5">
        <f t="shared" si="1"/>
        <v>103</v>
      </c>
      <c r="J5" s="5">
        <v>480</v>
      </c>
      <c r="K5" s="5" t="s">
        <v>891</v>
      </c>
      <c r="L5" s="5" t="s">
        <v>871</v>
      </c>
      <c r="M5" s="5" t="s">
        <v>871</v>
      </c>
      <c r="N5" s="5" t="s">
        <v>892</v>
      </c>
      <c r="O5" s="5" t="s">
        <v>893</v>
      </c>
      <c r="P5" s="5" t="s">
        <v>894</v>
      </c>
    </row>
    <row r="6" spans="1:16" ht="31.2" customHeight="1">
      <c r="A6" s="5" t="s">
        <v>895</v>
      </c>
      <c r="B6" s="5">
        <v>50</v>
      </c>
      <c r="C6" s="5" t="s">
        <v>896</v>
      </c>
      <c r="D6" s="5">
        <v>115</v>
      </c>
      <c r="E6" s="5">
        <f t="shared" si="0"/>
        <v>138</v>
      </c>
      <c r="F6" s="5" t="s">
        <v>897</v>
      </c>
      <c r="G6" s="5" t="s">
        <v>898</v>
      </c>
      <c r="H6" s="5">
        <v>8200</v>
      </c>
      <c r="I6" s="5">
        <f t="shared" si="1"/>
        <v>164</v>
      </c>
      <c r="J6" s="5">
        <v>760</v>
      </c>
      <c r="K6" s="5" t="s">
        <v>899</v>
      </c>
      <c r="L6" s="5" t="s">
        <v>871</v>
      </c>
      <c r="M6" s="5" t="s">
        <v>871</v>
      </c>
      <c r="N6" s="5" t="s">
        <v>900</v>
      </c>
      <c r="O6" s="5" t="s">
        <v>901</v>
      </c>
      <c r="P6" s="5" t="s">
        <v>902</v>
      </c>
    </row>
    <row r="7" spans="1:16" ht="31.2" customHeight="1">
      <c r="A7" s="5" t="s">
        <v>903</v>
      </c>
      <c r="B7" s="5">
        <v>45</v>
      </c>
      <c r="C7" s="5" t="s">
        <v>904</v>
      </c>
      <c r="D7" s="5">
        <v>120</v>
      </c>
      <c r="E7" s="5">
        <f t="shared" si="0"/>
        <v>160</v>
      </c>
      <c r="F7" s="5" t="s">
        <v>869</v>
      </c>
      <c r="G7" s="5" t="s">
        <v>905</v>
      </c>
      <c r="H7" s="5">
        <v>9500</v>
      </c>
      <c r="I7" s="5">
        <f t="shared" si="1"/>
        <v>211</v>
      </c>
      <c r="J7" s="5">
        <v>850</v>
      </c>
      <c r="K7" s="5" t="s">
        <v>899</v>
      </c>
      <c r="L7" s="5" t="s">
        <v>871</v>
      </c>
      <c r="M7" s="5" t="s">
        <v>871</v>
      </c>
      <c r="N7" s="5" t="s">
        <v>892</v>
      </c>
      <c r="O7" s="5" t="s">
        <v>906</v>
      </c>
      <c r="P7" s="5" t="s">
        <v>907</v>
      </c>
    </row>
    <row r="8" spans="1:16" ht="31.2" customHeight="1">
      <c r="A8" s="5" t="s">
        <v>908</v>
      </c>
      <c r="B8" s="5">
        <v>45</v>
      </c>
      <c r="C8" s="5" t="s">
        <v>909</v>
      </c>
      <c r="D8" s="5">
        <v>138</v>
      </c>
      <c r="E8" s="5">
        <f t="shared" si="0"/>
        <v>184</v>
      </c>
      <c r="F8" s="5" t="s">
        <v>869</v>
      </c>
      <c r="G8" s="5" t="s">
        <v>910</v>
      </c>
      <c r="H8" s="5">
        <v>12000</v>
      </c>
      <c r="I8" s="5">
        <f t="shared" si="1"/>
        <v>267</v>
      </c>
      <c r="J8" s="5">
        <v>1050</v>
      </c>
      <c r="K8" s="5" t="s">
        <v>911</v>
      </c>
      <c r="L8" s="5" t="s">
        <v>871</v>
      </c>
      <c r="M8" s="5" t="s">
        <v>871</v>
      </c>
      <c r="N8" s="5" t="s">
        <v>912</v>
      </c>
      <c r="O8" s="5" t="s">
        <v>913</v>
      </c>
      <c r="P8" s="5" t="s">
        <v>914</v>
      </c>
    </row>
    <row r="9" spans="1:16" ht="31.2" customHeight="1">
      <c r="A9" s="5" t="s">
        <v>915</v>
      </c>
      <c r="B9" s="5">
        <v>45</v>
      </c>
      <c r="C9" s="5" t="s">
        <v>916</v>
      </c>
      <c r="D9" s="5">
        <v>155</v>
      </c>
      <c r="E9" s="5">
        <f t="shared" si="0"/>
        <v>207</v>
      </c>
      <c r="F9" s="5" t="s">
        <v>869</v>
      </c>
      <c r="G9" s="5" t="s">
        <v>917</v>
      </c>
      <c r="H9" s="5">
        <v>15500</v>
      </c>
      <c r="I9" s="5">
        <f t="shared" si="1"/>
        <v>344</v>
      </c>
      <c r="J9" s="5">
        <v>1300</v>
      </c>
      <c r="K9" s="5" t="s">
        <v>918</v>
      </c>
      <c r="L9" s="5" t="s">
        <v>871</v>
      </c>
      <c r="M9" s="5" t="s">
        <v>871</v>
      </c>
      <c r="N9" s="5" t="s">
        <v>892</v>
      </c>
      <c r="O9" s="5" t="s">
        <v>919</v>
      </c>
      <c r="P9" s="5" t="s">
        <v>920</v>
      </c>
    </row>
    <row r="10" spans="1:16" ht="31.2" customHeight="1">
      <c r="A10" s="5" t="s">
        <v>921</v>
      </c>
      <c r="B10" s="5">
        <v>45</v>
      </c>
      <c r="C10" s="5" t="s">
        <v>922</v>
      </c>
      <c r="D10" s="5">
        <v>170</v>
      </c>
      <c r="E10" s="5">
        <f t="shared" si="0"/>
        <v>227</v>
      </c>
      <c r="F10" s="5" t="s">
        <v>869</v>
      </c>
      <c r="G10" s="5" t="s">
        <v>923</v>
      </c>
      <c r="H10" s="5">
        <v>19500</v>
      </c>
      <c r="I10" s="5">
        <f t="shared" si="1"/>
        <v>433</v>
      </c>
      <c r="J10" s="5">
        <v>1550</v>
      </c>
      <c r="K10" s="5" t="s">
        <v>924</v>
      </c>
      <c r="L10" s="5" t="s">
        <v>871</v>
      </c>
      <c r="M10" s="5" t="s">
        <v>871</v>
      </c>
      <c r="N10" s="5" t="s">
        <v>925</v>
      </c>
      <c r="O10" s="5" t="s">
        <v>926</v>
      </c>
      <c r="P10" s="5" t="s">
        <v>927</v>
      </c>
    </row>
    <row r="11" spans="1:16" ht="46.8" customHeight="1">
      <c r="A11" s="5" t="s">
        <v>928</v>
      </c>
      <c r="B11" s="5">
        <v>60</v>
      </c>
      <c r="C11" s="5" t="s">
        <v>929</v>
      </c>
      <c r="D11" s="5">
        <v>215</v>
      </c>
      <c r="E11" s="5">
        <f t="shared" si="0"/>
        <v>215</v>
      </c>
      <c r="F11" s="5" t="s">
        <v>897</v>
      </c>
      <c r="G11" s="5" t="s">
        <v>930</v>
      </c>
      <c r="H11" s="5">
        <v>35000</v>
      </c>
      <c r="I11" s="5">
        <f t="shared" si="1"/>
        <v>583</v>
      </c>
      <c r="J11" s="5">
        <v>2200</v>
      </c>
      <c r="K11" s="5" t="s">
        <v>931</v>
      </c>
      <c r="L11" s="5" t="s">
        <v>932</v>
      </c>
      <c r="M11" s="5" t="s">
        <v>933</v>
      </c>
      <c r="N11" s="5" t="s">
        <v>934</v>
      </c>
      <c r="O11" s="5" t="s">
        <v>935</v>
      </c>
      <c r="P11" s="5" t="s">
        <v>936</v>
      </c>
    </row>
    <row r="12" spans="1:16" ht="46.8" customHeight="1">
      <c r="A12" s="5" t="s">
        <v>937</v>
      </c>
      <c r="B12" s="5">
        <v>50</v>
      </c>
      <c r="C12" s="5" t="s">
        <v>938</v>
      </c>
      <c r="D12" s="5">
        <v>210</v>
      </c>
      <c r="E12" s="5">
        <f t="shared" si="0"/>
        <v>252</v>
      </c>
      <c r="F12" s="5" t="s">
        <v>869</v>
      </c>
      <c r="G12" s="5" t="s">
        <v>939</v>
      </c>
      <c r="H12" s="5">
        <v>42000</v>
      </c>
      <c r="I12" s="5">
        <f t="shared" si="1"/>
        <v>840</v>
      </c>
      <c r="J12" s="5">
        <v>2400</v>
      </c>
      <c r="K12" s="5" t="s">
        <v>931</v>
      </c>
      <c r="L12" s="5" t="s">
        <v>940</v>
      </c>
      <c r="M12" s="5" t="s">
        <v>871</v>
      </c>
      <c r="N12" s="5" t="s">
        <v>912</v>
      </c>
      <c r="O12" s="5" t="s">
        <v>941</v>
      </c>
      <c r="P12" s="5" t="s">
        <v>942</v>
      </c>
    </row>
    <row r="13" spans="1:16" ht="46.8" customHeight="1">
      <c r="A13" s="5" t="s">
        <v>943</v>
      </c>
      <c r="B13" s="5">
        <v>50</v>
      </c>
      <c r="C13" s="5" t="s">
        <v>944</v>
      </c>
      <c r="D13" s="5">
        <v>240</v>
      </c>
      <c r="E13" s="5">
        <f t="shared" si="0"/>
        <v>288</v>
      </c>
      <c r="F13" s="5" t="s">
        <v>869</v>
      </c>
      <c r="G13" s="5" t="s">
        <v>945</v>
      </c>
      <c r="H13" s="5">
        <v>54000</v>
      </c>
      <c r="I13" s="5">
        <f t="shared" si="1"/>
        <v>1080</v>
      </c>
      <c r="J13" s="5">
        <v>3000</v>
      </c>
      <c r="K13" s="5" t="s">
        <v>946</v>
      </c>
      <c r="L13" s="5" t="s">
        <v>940</v>
      </c>
      <c r="M13" s="5" t="s">
        <v>871</v>
      </c>
      <c r="N13" s="5" t="s">
        <v>892</v>
      </c>
      <c r="O13" s="5" t="s">
        <v>947</v>
      </c>
      <c r="P13" s="5" t="s">
        <v>948</v>
      </c>
    </row>
    <row r="14" spans="1:16" ht="46.8" customHeight="1">
      <c r="A14" s="5" t="s">
        <v>949</v>
      </c>
      <c r="B14" s="5">
        <v>50</v>
      </c>
      <c r="C14" s="5" t="s">
        <v>950</v>
      </c>
      <c r="D14" s="5">
        <v>270</v>
      </c>
      <c r="E14" s="5">
        <f t="shared" si="0"/>
        <v>324</v>
      </c>
      <c r="F14" s="5" t="s">
        <v>869</v>
      </c>
      <c r="G14" s="5" t="s">
        <v>951</v>
      </c>
      <c r="H14" s="5">
        <v>68000</v>
      </c>
      <c r="I14" s="5">
        <f t="shared" si="1"/>
        <v>1360</v>
      </c>
      <c r="J14" s="5">
        <v>3600</v>
      </c>
      <c r="K14" s="5" t="s">
        <v>952</v>
      </c>
      <c r="L14" s="5" t="s">
        <v>953</v>
      </c>
      <c r="M14" s="5" t="s">
        <v>871</v>
      </c>
      <c r="N14" s="5" t="s">
        <v>925</v>
      </c>
      <c r="O14" s="5" t="s">
        <v>954</v>
      </c>
      <c r="P14" s="5" t="s">
        <v>955</v>
      </c>
    </row>
    <row r="15" spans="1:16" ht="46.8" customHeight="1">
      <c r="A15" s="5" t="s">
        <v>956</v>
      </c>
      <c r="B15" s="5">
        <v>50</v>
      </c>
      <c r="C15" s="5" t="s">
        <v>957</v>
      </c>
      <c r="D15" s="5">
        <v>300</v>
      </c>
      <c r="E15" s="5">
        <f t="shared" si="0"/>
        <v>360</v>
      </c>
      <c r="F15" s="5" t="s">
        <v>869</v>
      </c>
      <c r="G15" s="5" t="s">
        <v>958</v>
      </c>
      <c r="H15" s="5">
        <v>85000</v>
      </c>
      <c r="I15" s="5">
        <f t="shared" si="1"/>
        <v>1700</v>
      </c>
      <c r="J15" s="5">
        <v>4200</v>
      </c>
      <c r="K15" s="5" t="s">
        <v>959</v>
      </c>
      <c r="L15" s="5" t="s">
        <v>960</v>
      </c>
      <c r="M15" s="5" t="s">
        <v>871</v>
      </c>
      <c r="N15" s="5" t="s">
        <v>912</v>
      </c>
      <c r="O15" s="5" t="s">
        <v>961</v>
      </c>
      <c r="P15" s="5" t="s">
        <v>962</v>
      </c>
    </row>
    <row r="16" spans="1:16" ht="46.8" customHeight="1">
      <c r="A16" s="5" t="s">
        <v>963</v>
      </c>
      <c r="B16" s="5">
        <v>65</v>
      </c>
      <c r="C16" s="5" t="s">
        <v>964</v>
      </c>
      <c r="D16" s="5">
        <v>340</v>
      </c>
      <c r="E16" s="5">
        <f t="shared" si="0"/>
        <v>314</v>
      </c>
      <c r="F16" s="5" t="s">
        <v>897</v>
      </c>
      <c r="G16" s="5" t="s">
        <v>965</v>
      </c>
      <c r="H16" s="5">
        <v>115000</v>
      </c>
      <c r="I16" s="5">
        <f t="shared" si="1"/>
        <v>1769</v>
      </c>
      <c r="J16" s="5">
        <v>5000</v>
      </c>
      <c r="K16" s="5" t="s">
        <v>966</v>
      </c>
      <c r="L16" s="5" t="s">
        <v>967</v>
      </c>
      <c r="M16" s="5" t="s">
        <v>968</v>
      </c>
      <c r="N16" s="5" t="s">
        <v>934</v>
      </c>
      <c r="O16" s="5" t="s">
        <v>969</v>
      </c>
      <c r="P16" s="5" t="s">
        <v>970</v>
      </c>
    </row>
    <row r="17" spans="1:16" ht="46.8" customHeight="1">
      <c r="A17" s="5" t="s">
        <v>971</v>
      </c>
      <c r="B17" s="5">
        <v>55</v>
      </c>
      <c r="C17" s="5" t="s">
        <v>972</v>
      </c>
      <c r="D17" s="5">
        <v>350</v>
      </c>
      <c r="E17" s="5">
        <f t="shared" si="0"/>
        <v>382</v>
      </c>
      <c r="F17" s="5" t="s">
        <v>869</v>
      </c>
      <c r="G17" s="5" t="s">
        <v>973</v>
      </c>
      <c r="H17" s="5">
        <v>135000</v>
      </c>
      <c r="I17" s="5">
        <f t="shared" si="1"/>
        <v>2455</v>
      </c>
      <c r="J17" s="5">
        <v>5800</v>
      </c>
      <c r="K17" s="5" t="s">
        <v>974</v>
      </c>
      <c r="L17" s="5" t="s">
        <v>975</v>
      </c>
      <c r="M17" s="5" t="s">
        <v>871</v>
      </c>
      <c r="N17" s="5" t="s">
        <v>892</v>
      </c>
      <c r="O17" s="5" t="s">
        <v>976</v>
      </c>
      <c r="P17" s="5" t="s">
        <v>977</v>
      </c>
    </row>
    <row r="18" spans="1:16" ht="46.8" customHeight="1">
      <c r="A18" s="5" t="s">
        <v>978</v>
      </c>
      <c r="B18" s="5">
        <v>55</v>
      </c>
      <c r="C18" s="5" t="s">
        <v>979</v>
      </c>
      <c r="D18" s="5">
        <v>390</v>
      </c>
      <c r="E18" s="5">
        <f t="shared" si="0"/>
        <v>425</v>
      </c>
      <c r="F18" s="5" t="s">
        <v>869</v>
      </c>
      <c r="G18" s="5" t="s">
        <v>980</v>
      </c>
      <c r="H18" s="5">
        <v>170000</v>
      </c>
      <c r="I18" s="5">
        <f t="shared" si="1"/>
        <v>3091</v>
      </c>
      <c r="J18" s="5">
        <v>6900</v>
      </c>
      <c r="K18" s="5" t="s">
        <v>981</v>
      </c>
      <c r="L18" s="5" t="s">
        <v>982</v>
      </c>
      <c r="M18" s="5" t="s">
        <v>871</v>
      </c>
      <c r="N18" s="5" t="s">
        <v>925</v>
      </c>
      <c r="O18" s="5" t="s">
        <v>983</v>
      </c>
      <c r="P18" s="5" t="s">
        <v>984</v>
      </c>
    </row>
    <row r="19" spans="1:16" ht="46.8" customHeight="1">
      <c r="A19" s="5" t="s">
        <v>985</v>
      </c>
      <c r="B19" s="5">
        <v>55</v>
      </c>
      <c r="C19" s="5" t="s">
        <v>986</v>
      </c>
      <c r="D19" s="5">
        <v>425</v>
      </c>
      <c r="E19" s="5">
        <f t="shared" si="0"/>
        <v>464</v>
      </c>
      <c r="F19" s="5" t="s">
        <v>869</v>
      </c>
      <c r="G19" s="5" t="s">
        <v>987</v>
      </c>
      <c r="H19" s="5">
        <v>215000</v>
      </c>
      <c r="I19" s="5">
        <f t="shared" si="1"/>
        <v>3909</v>
      </c>
      <c r="J19" s="5">
        <v>8000</v>
      </c>
      <c r="K19" s="5" t="s">
        <v>988</v>
      </c>
      <c r="L19" s="5" t="s">
        <v>989</v>
      </c>
      <c r="M19" s="5" t="s">
        <v>871</v>
      </c>
      <c r="N19" s="5" t="s">
        <v>912</v>
      </c>
      <c r="O19" s="5" t="s">
        <v>990</v>
      </c>
      <c r="P19" s="5" t="s">
        <v>991</v>
      </c>
    </row>
    <row r="20" spans="1:16" ht="46.8" customHeight="1">
      <c r="A20" s="5" t="s">
        <v>992</v>
      </c>
      <c r="B20" s="5">
        <v>55</v>
      </c>
      <c r="C20" s="5" t="s">
        <v>993</v>
      </c>
      <c r="D20" s="5">
        <v>460</v>
      </c>
      <c r="E20" s="5">
        <f t="shared" si="0"/>
        <v>502</v>
      </c>
      <c r="F20" s="5" t="s">
        <v>869</v>
      </c>
      <c r="G20" s="5" t="s">
        <v>994</v>
      </c>
      <c r="H20" s="5">
        <v>260000</v>
      </c>
      <c r="I20" s="5">
        <f t="shared" si="1"/>
        <v>4727</v>
      </c>
      <c r="J20" s="5">
        <v>9000</v>
      </c>
      <c r="K20" s="5" t="s">
        <v>995</v>
      </c>
      <c r="L20" s="5" t="s">
        <v>996</v>
      </c>
      <c r="M20" s="5" t="s">
        <v>871</v>
      </c>
      <c r="N20" s="5" t="s">
        <v>925</v>
      </c>
      <c r="O20" s="5" t="s">
        <v>997</v>
      </c>
      <c r="P20" s="5" t="s">
        <v>998</v>
      </c>
    </row>
    <row r="21" spans="1:16" ht="46.8" customHeight="1">
      <c r="A21" s="5" t="s">
        <v>999</v>
      </c>
      <c r="B21" s="5">
        <v>75</v>
      </c>
      <c r="C21" s="5" t="s">
        <v>1000</v>
      </c>
      <c r="D21" s="5">
        <v>560</v>
      </c>
      <c r="E21" s="5">
        <f t="shared" si="0"/>
        <v>448</v>
      </c>
      <c r="F21" s="5" t="s">
        <v>897</v>
      </c>
      <c r="G21" s="5" t="s">
        <v>1001</v>
      </c>
      <c r="H21" s="5">
        <v>420000</v>
      </c>
      <c r="I21" s="5">
        <f t="shared" si="1"/>
        <v>5600</v>
      </c>
      <c r="J21" s="5">
        <v>13000</v>
      </c>
      <c r="K21" s="5" t="s">
        <v>1002</v>
      </c>
      <c r="L21" s="5" t="s">
        <v>1003</v>
      </c>
      <c r="M21" s="5" t="s">
        <v>1004</v>
      </c>
      <c r="N21" s="5" t="s">
        <v>1005</v>
      </c>
      <c r="O21" s="5" t="s">
        <v>1006</v>
      </c>
      <c r="P21" s="5" t="s">
        <v>1007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4" customWidth="1"/>
    <col min="2" max="2" width="14" customWidth="1"/>
    <col min="3" max="3" width="30" customWidth="1"/>
    <col min="4" max="4" width="14" customWidth="1"/>
    <col min="5" max="6" width="10" customWidth="1"/>
    <col min="7" max="8" width="12" customWidth="1"/>
    <col min="9" max="9" width="16" customWidth="1"/>
    <col min="10" max="10" width="26" customWidth="1"/>
    <col min="11" max="11" width="34" customWidth="1"/>
    <col min="12" max="12" width="18" customWidth="1"/>
    <col min="13" max="13" width="42" customWidth="1"/>
  </cols>
  <sheetData>
    <row r="1" spans="1:13" ht="30" customHeight="1">
      <c r="A1" s="4" t="s">
        <v>1008</v>
      </c>
      <c r="B1" s="4" t="s">
        <v>1009</v>
      </c>
      <c r="C1" s="4" t="s">
        <v>1010</v>
      </c>
      <c r="D1" s="4" t="s">
        <v>1011</v>
      </c>
      <c r="E1" s="4" t="s">
        <v>201</v>
      </c>
      <c r="F1" s="4" t="s">
        <v>1012</v>
      </c>
      <c r="G1" s="4" t="s">
        <v>202</v>
      </c>
      <c r="H1" s="4" t="s">
        <v>1013</v>
      </c>
      <c r="I1" s="4" t="s">
        <v>1014</v>
      </c>
      <c r="J1" s="4" t="s">
        <v>1015</v>
      </c>
      <c r="K1" s="4" t="s">
        <v>1016</v>
      </c>
      <c r="L1" s="4" t="s">
        <v>1017</v>
      </c>
      <c r="M1" s="4" t="s">
        <v>18</v>
      </c>
    </row>
    <row r="2" spans="1:13" ht="31.2" customHeight="1">
      <c r="A2" t="s">
        <v>1018</v>
      </c>
      <c r="B2" t="s">
        <v>1019</v>
      </c>
      <c r="C2" t="s">
        <v>1020</v>
      </c>
      <c r="D2" t="s">
        <v>98</v>
      </c>
      <c r="E2">
        <v>1</v>
      </c>
      <c r="F2">
        <v>4</v>
      </c>
      <c r="G2">
        <v>85</v>
      </c>
      <c r="H2">
        <v>-0.4</v>
      </c>
      <c r="I2">
        <v>1</v>
      </c>
      <c r="J2" t="s">
        <v>1021</v>
      </c>
      <c r="K2" t="s">
        <v>1022</v>
      </c>
      <c r="L2" t="s">
        <v>1023</v>
      </c>
      <c r="M2" t="s">
        <v>1024</v>
      </c>
    </row>
    <row r="3" spans="1:13" ht="31.2" customHeight="1">
      <c r="A3" t="s">
        <v>1025</v>
      </c>
      <c r="B3" t="s">
        <v>1019</v>
      </c>
      <c r="C3" t="s">
        <v>1026</v>
      </c>
      <c r="D3" t="s">
        <v>100</v>
      </c>
      <c r="E3">
        <v>1</v>
      </c>
      <c r="F3">
        <v>4</v>
      </c>
      <c r="G3">
        <v>15</v>
      </c>
      <c r="H3">
        <v>0.4</v>
      </c>
      <c r="I3">
        <v>1.05</v>
      </c>
      <c r="J3" t="s">
        <v>1021</v>
      </c>
      <c r="K3" t="s">
        <v>1022</v>
      </c>
      <c r="L3" t="s">
        <v>1023</v>
      </c>
      <c r="M3" t="s">
        <v>1024</v>
      </c>
    </row>
    <row r="4" spans="1:13" ht="31.2" customHeight="1">
      <c r="A4" t="s">
        <v>1027</v>
      </c>
      <c r="B4" t="s">
        <v>1019</v>
      </c>
      <c r="C4" t="s">
        <v>1028</v>
      </c>
      <c r="D4" t="s">
        <v>101</v>
      </c>
      <c r="E4">
        <v>1</v>
      </c>
      <c r="F4">
        <v>4</v>
      </c>
      <c r="G4">
        <v>0</v>
      </c>
      <c r="H4">
        <v>0.9</v>
      </c>
      <c r="I4">
        <v>1.1000000000000001</v>
      </c>
      <c r="J4" t="s">
        <v>1021</v>
      </c>
      <c r="K4" t="s">
        <v>1022</v>
      </c>
      <c r="L4" t="s">
        <v>1023</v>
      </c>
      <c r="M4" t="s">
        <v>1024</v>
      </c>
    </row>
    <row r="5" spans="1:13" ht="31.2" customHeight="1">
      <c r="A5" t="s">
        <v>1029</v>
      </c>
      <c r="B5" t="s">
        <v>1019</v>
      </c>
      <c r="C5" t="s">
        <v>1030</v>
      </c>
      <c r="D5" t="s">
        <v>102</v>
      </c>
      <c r="E5">
        <v>1</v>
      </c>
      <c r="F5">
        <v>4</v>
      </c>
      <c r="G5">
        <v>0</v>
      </c>
      <c r="H5">
        <v>1.4</v>
      </c>
      <c r="I5">
        <v>1.2</v>
      </c>
      <c r="J5" t="s">
        <v>1021</v>
      </c>
      <c r="K5" t="s">
        <v>1022</v>
      </c>
      <c r="L5" t="s">
        <v>1023</v>
      </c>
      <c r="M5" t="s">
        <v>1024</v>
      </c>
    </row>
    <row r="6" spans="1:13" ht="31.2" customHeight="1">
      <c r="A6" t="s">
        <v>1031</v>
      </c>
      <c r="B6" t="s">
        <v>1019</v>
      </c>
      <c r="C6" t="s">
        <v>1020</v>
      </c>
      <c r="D6" t="s">
        <v>98</v>
      </c>
      <c r="E6">
        <v>5</v>
      </c>
      <c r="F6">
        <v>9</v>
      </c>
      <c r="G6">
        <v>65</v>
      </c>
      <c r="H6">
        <v>-0.4</v>
      </c>
      <c r="I6">
        <v>1</v>
      </c>
      <c r="J6" t="s">
        <v>1021</v>
      </c>
      <c r="K6" t="s">
        <v>1022</v>
      </c>
      <c r="L6" t="s">
        <v>1023</v>
      </c>
      <c r="M6" t="s">
        <v>1024</v>
      </c>
    </row>
    <row r="7" spans="1:13" ht="31.2" customHeight="1">
      <c r="A7" t="s">
        <v>1032</v>
      </c>
      <c r="B7" t="s">
        <v>1019</v>
      </c>
      <c r="C7" t="s">
        <v>1026</v>
      </c>
      <c r="D7" t="s">
        <v>100</v>
      </c>
      <c r="E7">
        <v>5</v>
      </c>
      <c r="F7">
        <v>9</v>
      </c>
      <c r="G7">
        <v>30</v>
      </c>
      <c r="H7">
        <v>0.4</v>
      </c>
      <c r="I7">
        <v>1.05</v>
      </c>
      <c r="J7" t="s">
        <v>1021</v>
      </c>
      <c r="K7" t="s">
        <v>1022</v>
      </c>
      <c r="L7" t="s">
        <v>1023</v>
      </c>
      <c r="M7" t="s">
        <v>1024</v>
      </c>
    </row>
    <row r="8" spans="1:13" ht="31.2" customHeight="1">
      <c r="A8" t="s">
        <v>1033</v>
      </c>
      <c r="B8" t="s">
        <v>1019</v>
      </c>
      <c r="C8" t="s">
        <v>1028</v>
      </c>
      <c r="D8" t="s">
        <v>101</v>
      </c>
      <c r="E8">
        <v>5</v>
      </c>
      <c r="F8">
        <v>9</v>
      </c>
      <c r="G8">
        <v>5</v>
      </c>
      <c r="H8">
        <v>0.9</v>
      </c>
      <c r="I8">
        <v>1.1000000000000001</v>
      </c>
      <c r="J8" t="s">
        <v>1021</v>
      </c>
      <c r="K8" t="s">
        <v>1022</v>
      </c>
      <c r="L8" t="s">
        <v>1023</v>
      </c>
      <c r="M8" t="s">
        <v>1024</v>
      </c>
    </row>
    <row r="9" spans="1:13" ht="31.2" customHeight="1">
      <c r="A9" t="s">
        <v>1034</v>
      </c>
      <c r="B9" t="s">
        <v>1019</v>
      </c>
      <c r="C9" t="s">
        <v>1030</v>
      </c>
      <c r="D9" t="s">
        <v>102</v>
      </c>
      <c r="E9">
        <v>5</v>
      </c>
      <c r="F9">
        <v>9</v>
      </c>
      <c r="G9">
        <v>0</v>
      </c>
      <c r="H9">
        <v>1.4</v>
      </c>
      <c r="I9">
        <v>1.2</v>
      </c>
      <c r="J9" t="s">
        <v>1021</v>
      </c>
      <c r="K9" t="s">
        <v>1022</v>
      </c>
      <c r="L9" t="s">
        <v>1023</v>
      </c>
      <c r="M9" t="s">
        <v>1024</v>
      </c>
    </row>
    <row r="10" spans="1:13" ht="31.2" customHeight="1">
      <c r="A10" t="s">
        <v>1035</v>
      </c>
      <c r="B10" t="s">
        <v>1019</v>
      </c>
      <c r="C10" t="s">
        <v>1020</v>
      </c>
      <c r="D10" t="s">
        <v>98</v>
      </c>
      <c r="E10">
        <v>10</v>
      </c>
      <c r="F10">
        <v>14</v>
      </c>
      <c r="G10">
        <v>45</v>
      </c>
      <c r="H10">
        <v>-0.4</v>
      </c>
      <c r="I10">
        <v>1</v>
      </c>
      <c r="J10" t="s">
        <v>1021</v>
      </c>
      <c r="K10" t="s">
        <v>1022</v>
      </c>
      <c r="L10" t="s">
        <v>1023</v>
      </c>
      <c r="M10" t="s">
        <v>1024</v>
      </c>
    </row>
    <row r="11" spans="1:13" ht="31.2" customHeight="1">
      <c r="A11" t="s">
        <v>1036</v>
      </c>
      <c r="B11" t="s">
        <v>1019</v>
      </c>
      <c r="C11" t="s">
        <v>1026</v>
      </c>
      <c r="D11" t="s">
        <v>100</v>
      </c>
      <c r="E11">
        <v>10</v>
      </c>
      <c r="F11">
        <v>14</v>
      </c>
      <c r="G11">
        <v>40</v>
      </c>
      <c r="H11">
        <v>0.4</v>
      </c>
      <c r="I11">
        <v>1.05</v>
      </c>
      <c r="J11" t="s">
        <v>1021</v>
      </c>
      <c r="K11" t="s">
        <v>1022</v>
      </c>
      <c r="L11" t="s">
        <v>1023</v>
      </c>
      <c r="M11" t="s">
        <v>1024</v>
      </c>
    </row>
    <row r="12" spans="1:13" ht="31.2" customHeight="1">
      <c r="A12" t="s">
        <v>1037</v>
      </c>
      <c r="B12" t="s">
        <v>1019</v>
      </c>
      <c r="C12" t="s">
        <v>1028</v>
      </c>
      <c r="D12" t="s">
        <v>101</v>
      </c>
      <c r="E12">
        <v>10</v>
      </c>
      <c r="F12">
        <v>14</v>
      </c>
      <c r="G12">
        <v>14</v>
      </c>
      <c r="H12">
        <v>0.9</v>
      </c>
      <c r="I12">
        <v>1.1000000000000001</v>
      </c>
      <c r="J12" t="s">
        <v>1021</v>
      </c>
      <c r="K12" t="s">
        <v>1022</v>
      </c>
      <c r="L12" t="s">
        <v>1023</v>
      </c>
      <c r="M12" t="s">
        <v>1024</v>
      </c>
    </row>
    <row r="13" spans="1:13" ht="31.2" customHeight="1">
      <c r="A13" t="s">
        <v>1038</v>
      </c>
      <c r="B13" t="s">
        <v>1019</v>
      </c>
      <c r="C13" t="s">
        <v>1030</v>
      </c>
      <c r="D13" t="s">
        <v>102</v>
      </c>
      <c r="E13">
        <v>10</v>
      </c>
      <c r="F13">
        <v>14</v>
      </c>
      <c r="G13">
        <v>1</v>
      </c>
      <c r="H13">
        <v>1.4</v>
      </c>
      <c r="I13">
        <v>1.2</v>
      </c>
      <c r="J13" t="s">
        <v>1021</v>
      </c>
      <c r="K13" t="s">
        <v>1022</v>
      </c>
      <c r="L13" t="s">
        <v>1023</v>
      </c>
      <c r="M13" t="s">
        <v>1024</v>
      </c>
    </row>
    <row r="14" spans="1:13" ht="31.2" customHeight="1">
      <c r="A14" t="s">
        <v>1039</v>
      </c>
      <c r="B14" t="s">
        <v>1019</v>
      </c>
      <c r="C14" t="s">
        <v>1020</v>
      </c>
      <c r="D14" t="s">
        <v>98</v>
      </c>
      <c r="E14">
        <v>15</v>
      </c>
      <c r="F14">
        <v>19</v>
      </c>
      <c r="G14">
        <v>30</v>
      </c>
      <c r="H14">
        <v>-0.4</v>
      </c>
      <c r="I14">
        <v>1</v>
      </c>
      <c r="J14" t="s">
        <v>1021</v>
      </c>
      <c r="K14" t="s">
        <v>1022</v>
      </c>
      <c r="L14" t="s">
        <v>1023</v>
      </c>
      <c r="M14" t="s">
        <v>1024</v>
      </c>
    </row>
    <row r="15" spans="1:13" ht="31.2" customHeight="1">
      <c r="A15" t="s">
        <v>1040</v>
      </c>
      <c r="B15" t="s">
        <v>1019</v>
      </c>
      <c r="C15" t="s">
        <v>1026</v>
      </c>
      <c r="D15" t="s">
        <v>100</v>
      </c>
      <c r="E15">
        <v>15</v>
      </c>
      <c r="F15">
        <v>19</v>
      </c>
      <c r="G15">
        <v>42</v>
      </c>
      <c r="H15">
        <v>0.4</v>
      </c>
      <c r="I15">
        <v>1.05</v>
      </c>
      <c r="J15" t="s">
        <v>1021</v>
      </c>
      <c r="K15" t="s">
        <v>1022</v>
      </c>
      <c r="L15" t="s">
        <v>1023</v>
      </c>
      <c r="M15" t="s">
        <v>1024</v>
      </c>
    </row>
    <row r="16" spans="1:13" ht="31.2" customHeight="1">
      <c r="A16" t="s">
        <v>1041</v>
      </c>
      <c r="B16" t="s">
        <v>1019</v>
      </c>
      <c r="C16" t="s">
        <v>1028</v>
      </c>
      <c r="D16" t="s">
        <v>101</v>
      </c>
      <c r="E16">
        <v>15</v>
      </c>
      <c r="F16">
        <v>19</v>
      </c>
      <c r="G16">
        <v>25</v>
      </c>
      <c r="H16">
        <v>0.9</v>
      </c>
      <c r="I16">
        <v>1.1000000000000001</v>
      </c>
      <c r="J16" t="s">
        <v>1021</v>
      </c>
      <c r="K16" t="s">
        <v>1022</v>
      </c>
      <c r="L16" t="s">
        <v>1023</v>
      </c>
      <c r="M16" t="s">
        <v>1024</v>
      </c>
    </row>
    <row r="17" spans="1:13" ht="31.2" customHeight="1">
      <c r="A17" t="s">
        <v>1042</v>
      </c>
      <c r="B17" t="s">
        <v>1019</v>
      </c>
      <c r="C17" t="s">
        <v>1030</v>
      </c>
      <c r="D17" t="s">
        <v>102</v>
      </c>
      <c r="E17">
        <v>15</v>
      </c>
      <c r="F17">
        <v>19</v>
      </c>
      <c r="G17">
        <v>3</v>
      </c>
      <c r="H17">
        <v>1.4</v>
      </c>
      <c r="I17">
        <v>1.2</v>
      </c>
      <c r="J17" t="s">
        <v>1021</v>
      </c>
      <c r="K17" t="s">
        <v>1022</v>
      </c>
      <c r="L17" t="s">
        <v>1023</v>
      </c>
      <c r="M17" t="s">
        <v>1024</v>
      </c>
    </row>
    <row r="18" spans="1:13" ht="31.2" customHeight="1">
      <c r="A18" t="s">
        <v>1043</v>
      </c>
      <c r="B18" t="s">
        <v>1019</v>
      </c>
      <c r="C18" t="s">
        <v>1020</v>
      </c>
      <c r="D18" t="s">
        <v>98</v>
      </c>
      <c r="E18">
        <v>20</v>
      </c>
      <c r="F18" t="s">
        <v>687</v>
      </c>
      <c r="G18">
        <v>20</v>
      </c>
      <c r="H18">
        <v>-0.4</v>
      </c>
      <c r="I18">
        <v>1</v>
      </c>
      <c r="J18" t="s">
        <v>1021</v>
      </c>
      <c r="K18" t="s">
        <v>1022</v>
      </c>
      <c r="L18" t="s">
        <v>1023</v>
      </c>
      <c r="M18" t="s">
        <v>1024</v>
      </c>
    </row>
    <row r="19" spans="1:13" ht="31.2" customHeight="1">
      <c r="A19" t="s">
        <v>1044</v>
      </c>
      <c r="B19" t="s">
        <v>1019</v>
      </c>
      <c r="C19" t="s">
        <v>1026</v>
      </c>
      <c r="D19" t="s">
        <v>100</v>
      </c>
      <c r="E19">
        <v>20</v>
      </c>
      <c r="F19" t="s">
        <v>687</v>
      </c>
      <c r="G19">
        <v>40</v>
      </c>
      <c r="H19">
        <v>0.4</v>
      </c>
      <c r="I19">
        <v>1.05</v>
      </c>
      <c r="J19" t="s">
        <v>1021</v>
      </c>
      <c r="K19" t="s">
        <v>1022</v>
      </c>
      <c r="L19" t="s">
        <v>1023</v>
      </c>
      <c r="M19" t="s">
        <v>1024</v>
      </c>
    </row>
    <row r="20" spans="1:13" ht="31.2" customHeight="1">
      <c r="A20" t="s">
        <v>1045</v>
      </c>
      <c r="B20" t="s">
        <v>1019</v>
      </c>
      <c r="C20" t="s">
        <v>1028</v>
      </c>
      <c r="D20" t="s">
        <v>101</v>
      </c>
      <c r="E20">
        <v>20</v>
      </c>
      <c r="F20" t="s">
        <v>687</v>
      </c>
      <c r="G20">
        <v>34</v>
      </c>
      <c r="H20">
        <v>0.9</v>
      </c>
      <c r="I20">
        <v>1.1000000000000001</v>
      </c>
      <c r="J20" t="s">
        <v>1021</v>
      </c>
      <c r="K20" t="s">
        <v>1022</v>
      </c>
      <c r="L20" t="s">
        <v>1023</v>
      </c>
      <c r="M20" t="s">
        <v>1024</v>
      </c>
    </row>
    <row r="21" spans="1:13" ht="31.2" customHeight="1">
      <c r="A21" t="s">
        <v>1046</v>
      </c>
      <c r="B21" t="s">
        <v>1019</v>
      </c>
      <c r="C21" t="s">
        <v>1030</v>
      </c>
      <c r="D21" t="s">
        <v>102</v>
      </c>
      <c r="E21">
        <v>20</v>
      </c>
      <c r="F21" t="s">
        <v>687</v>
      </c>
      <c r="G21">
        <v>6</v>
      </c>
      <c r="H21">
        <v>1.4</v>
      </c>
      <c r="I21">
        <v>1.2</v>
      </c>
      <c r="J21" t="s">
        <v>1021</v>
      </c>
      <c r="K21" t="s">
        <v>1022</v>
      </c>
      <c r="L21" t="s">
        <v>1023</v>
      </c>
      <c r="M21" t="s">
        <v>1024</v>
      </c>
    </row>
    <row r="22" spans="1:13" ht="31.2" customHeight="1">
      <c r="A22" t="s">
        <v>1047</v>
      </c>
      <c r="B22" t="s">
        <v>1048</v>
      </c>
      <c r="C22" t="s">
        <v>1049</v>
      </c>
      <c r="D22" t="s">
        <v>1050</v>
      </c>
      <c r="E22">
        <v>1</v>
      </c>
      <c r="F22">
        <v>4</v>
      </c>
      <c r="G22">
        <v>100</v>
      </c>
      <c r="H22">
        <v>-0.3</v>
      </c>
      <c r="I22">
        <v>1</v>
      </c>
      <c r="J22" t="s">
        <v>1051</v>
      </c>
      <c r="K22" t="s">
        <v>1052</v>
      </c>
      <c r="L22" t="s">
        <v>1053</v>
      </c>
      <c r="M22" t="s">
        <v>1054</v>
      </c>
    </row>
    <row r="23" spans="1:13" ht="31.2" customHeight="1">
      <c r="A23" t="s">
        <v>1055</v>
      </c>
      <c r="B23" t="s">
        <v>1048</v>
      </c>
      <c r="C23" t="s">
        <v>1056</v>
      </c>
      <c r="D23" t="s">
        <v>1057</v>
      </c>
      <c r="E23">
        <v>1</v>
      </c>
      <c r="F23">
        <v>4</v>
      </c>
      <c r="G23">
        <v>0</v>
      </c>
      <c r="H23">
        <v>0.3</v>
      </c>
      <c r="I23">
        <v>1</v>
      </c>
      <c r="J23" t="s">
        <v>1051</v>
      </c>
      <c r="K23" t="s">
        <v>1052</v>
      </c>
      <c r="L23" t="s">
        <v>1053</v>
      </c>
      <c r="M23" t="s">
        <v>1054</v>
      </c>
    </row>
    <row r="24" spans="1:13" ht="31.2" customHeight="1">
      <c r="A24" t="s">
        <v>1058</v>
      </c>
      <c r="B24" t="s">
        <v>1048</v>
      </c>
      <c r="C24" t="s">
        <v>1059</v>
      </c>
      <c r="D24" t="s">
        <v>1060</v>
      </c>
      <c r="E24">
        <v>1</v>
      </c>
      <c r="F24">
        <v>4</v>
      </c>
      <c r="G24">
        <v>0</v>
      </c>
      <c r="H24">
        <v>0.8</v>
      </c>
      <c r="I24">
        <v>1.05</v>
      </c>
      <c r="J24" t="s">
        <v>1051</v>
      </c>
      <c r="K24" t="s">
        <v>1052</v>
      </c>
      <c r="L24" t="s">
        <v>1053</v>
      </c>
      <c r="M24" t="s">
        <v>1054</v>
      </c>
    </row>
    <row r="25" spans="1:13" ht="31.2" customHeight="1">
      <c r="A25" t="s">
        <v>1061</v>
      </c>
      <c r="B25" t="s">
        <v>1048</v>
      </c>
      <c r="C25" t="s">
        <v>1062</v>
      </c>
      <c r="D25" t="s">
        <v>1063</v>
      </c>
      <c r="E25">
        <v>1</v>
      </c>
      <c r="F25">
        <v>4</v>
      </c>
      <c r="G25">
        <v>0</v>
      </c>
      <c r="H25">
        <v>1.2</v>
      </c>
      <c r="I25">
        <v>1.1000000000000001</v>
      </c>
      <c r="J25" t="s">
        <v>1051</v>
      </c>
      <c r="K25" t="s">
        <v>1052</v>
      </c>
      <c r="L25" t="s">
        <v>1053</v>
      </c>
      <c r="M25" t="s">
        <v>1054</v>
      </c>
    </row>
    <row r="26" spans="1:13" ht="31.2" customHeight="1">
      <c r="A26" t="s">
        <v>1064</v>
      </c>
      <c r="B26" t="s">
        <v>1048</v>
      </c>
      <c r="C26" t="s">
        <v>1049</v>
      </c>
      <c r="D26" t="s">
        <v>1050</v>
      </c>
      <c r="E26">
        <v>5</v>
      </c>
      <c r="F26">
        <v>9</v>
      </c>
      <c r="G26">
        <v>80</v>
      </c>
      <c r="H26">
        <v>-0.3</v>
      </c>
      <c r="I26">
        <v>1</v>
      </c>
      <c r="J26" t="s">
        <v>1051</v>
      </c>
      <c r="K26" t="s">
        <v>1052</v>
      </c>
      <c r="L26" t="s">
        <v>1053</v>
      </c>
      <c r="M26" t="s">
        <v>1054</v>
      </c>
    </row>
    <row r="27" spans="1:13" ht="31.2" customHeight="1">
      <c r="A27" t="s">
        <v>1065</v>
      </c>
      <c r="B27" t="s">
        <v>1048</v>
      </c>
      <c r="C27" t="s">
        <v>1056</v>
      </c>
      <c r="D27" t="s">
        <v>1057</v>
      </c>
      <c r="E27">
        <v>5</v>
      </c>
      <c r="F27">
        <v>9</v>
      </c>
      <c r="G27">
        <v>20</v>
      </c>
      <c r="H27">
        <v>0.3</v>
      </c>
      <c r="I27">
        <v>1</v>
      </c>
      <c r="J27" t="s">
        <v>1051</v>
      </c>
      <c r="K27" t="s">
        <v>1052</v>
      </c>
      <c r="L27" t="s">
        <v>1053</v>
      </c>
      <c r="M27" t="s">
        <v>1054</v>
      </c>
    </row>
    <row r="28" spans="1:13" ht="31.2" customHeight="1">
      <c r="A28" t="s">
        <v>1066</v>
      </c>
      <c r="B28" t="s">
        <v>1048</v>
      </c>
      <c r="C28" t="s">
        <v>1059</v>
      </c>
      <c r="D28" t="s">
        <v>1060</v>
      </c>
      <c r="E28">
        <v>5</v>
      </c>
      <c r="F28">
        <v>9</v>
      </c>
      <c r="G28">
        <v>0</v>
      </c>
      <c r="H28">
        <v>0.8</v>
      </c>
      <c r="I28">
        <v>1.05</v>
      </c>
      <c r="J28" t="s">
        <v>1051</v>
      </c>
      <c r="K28" t="s">
        <v>1052</v>
      </c>
      <c r="L28" t="s">
        <v>1053</v>
      </c>
      <c r="M28" t="s">
        <v>1054</v>
      </c>
    </row>
    <row r="29" spans="1:13" ht="31.2" customHeight="1">
      <c r="A29" t="s">
        <v>1067</v>
      </c>
      <c r="B29" t="s">
        <v>1048</v>
      </c>
      <c r="C29" t="s">
        <v>1062</v>
      </c>
      <c r="D29" t="s">
        <v>1063</v>
      </c>
      <c r="E29">
        <v>5</v>
      </c>
      <c r="F29">
        <v>9</v>
      </c>
      <c r="G29">
        <v>0</v>
      </c>
      <c r="H29">
        <v>1.2</v>
      </c>
      <c r="I29">
        <v>1.1000000000000001</v>
      </c>
      <c r="J29" t="s">
        <v>1051</v>
      </c>
      <c r="K29" t="s">
        <v>1052</v>
      </c>
      <c r="L29" t="s">
        <v>1053</v>
      </c>
      <c r="M29" t="s">
        <v>1054</v>
      </c>
    </row>
    <row r="30" spans="1:13" ht="31.2" customHeight="1">
      <c r="A30" t="s">
        <v>1068</v>
      </c>
      <c r="B30" t="s">
        <v>1048</v>
      </c>
      <c r="C30" t="s">
        <v>1049</v>
      </c>
      <c r="D30" t="s">
        <v>1050</v>
      </c>
      <c r="E30">
        <v>10</v>
      </c>
      <c r="F30">
        <v>14</v>
      </c>
      <c r="G30">
        <v>55</v>
      </c>
      <c r="H30">
        <v>-0.3</v>
      </c>
      <c r="I30">
        <v>1</v>
      </c>
      <c r="J30" t="s">
        <v>1051</v>
      </c>
      <c r="K30" t="s">
        <v>1052</v>
      </c>
      <c r="L30" t="s">
        <v>1053</v>
      </c>
      <c r="M30" t="s">
        <v>1054</v>
      </c>
    </row>
    <row r="31" spans="1:13" ht="31.2" customHeight="1">
      <c r="A31" t="s">
        <v>1069</v>
      </c>
      <c r="B31" t="s">
        <v>1048</v>
      </c>
      <c r="C31" t="s">
        <v>1056</v>
      </c>
      <c r="D31" t="s">
        <v>1057</v>
      </c>
      <c r="E31">
        <v>10</v>
      </c>
      <c r="F31">
        <v>14</v>
      </c>
      <c r="G31">
        <v>35</v>
      </c>
      <c r="H31">
        <v>0.3</v>
      </c>
      <c r="I31">
        <v>1</v>
      </c>
      <c r="J31" t="s">
        <v>1051</v>
      </c>
      <c r="K31" t="s">
        <v>1052</v>
      </c>
      <c r="L31" t="s">
        <v>1053</v>
      </c>
      <c r="M31" t="s">
        <v>1054</v>
      </c>
    </row>
    <row r="32" spans="1:13" ht="31.2" customHeight="1">
      <c r="A32" t="s">
        <v>1070</v>
      </c>
      <c r="B32" t="s">
        <v>1048</v>
      </c>
      <c r="C32" t="s">
        <v>1059</v>
      </c>
      <c r="D32" t="s">
        <v>1060</v>
      </c>
      <c r="E32">
        <v>10</v>
      </c>
      <c r="F32">
        <v>14</v>
      </c>
      <c r="G32">
        <v>10</v>
      </c>
      <c r="H32">
        <v>0.8</v>
      </c>
      <c r="I32">
        <v>1.05</v>
      </c>
      <c r="J32" t="s">
        <v>1051</v>
      </c>
      <c r="K32" t="s">
        <v>1052</v>
      </c>
      <c r="L32" t="s">
        <v>1053</v>
      </c>
      <c r="M32" t="s">
        <v>1054</v>
      </c>
    </row>
    <row r="33" spans="1:13" ht="31.2" customHeight="1">
      <c r="A33" t="s">
        <v>1071</v>
      </c>
      <c r="B33" t="s">
        <v>1048</v>
      </c>
      <c r="C33" t="s">
        <v>1062</v>
      </c>
      <c r="D33" t="s">
        <v>1063</v>
      </c>
      <c r="E33">
        <v>10</v>
      </c>
      <c r="F33">
        <v>14</v>
      </c>
      <c r="G33">
        <v>0</v>
      </c>
      <c r="H33">
        <v>1.2</v>
      </c>
      <c r="I33">
        <v>1.1000000000000001</v>
      </c>
      <c r="J33" t="s">
        <v>1051</v>
      </c>
      <c r="K33" t="s">
        <v>1052</v>
      </c>
      <c r="L33" t="s">
        <v>1053</v>
      </c>
      <c r="M33" t="s">
        <v>1054</v>
      </c>
    </row>
    <row r="34" spans="1:13" ht="31.2" customHeight="1">
      <c r="A34" t="s">
        <v>1072</v>
      </c>
      <c r="B34" t="s">
        <v>1048</v>
      </c>
      <c r="C34" t="s">
        <v>1049</v>
      </c>
      <c r="D34" t="s">
        <v>1050</v>
      </c>
      <c r="E34">
        <v>15</v>
      </c>
      <c r="F34">
        <v>19</v>
      </c>
      <c r="G34">
        <v>35</v>
      </c>
      <c r="H34">
        <v>-0.3</v>
      </c>
      <c r="I34">
        <v>1</v>
      </c>
      <c r="J34" t="s">
        <v>1051</v>
      </c>
      <c r="K34" t="s">
        <v>1052</v>
      </c>
      <c r="L34" t="s">
        <v>1053</v>
      </c>
      <c r="M34" t="s">
        <v>1054</v>
      </c>
    </row>
    <row r="35" spans="1:13" ht="31.2" customHeight="1">
      <c r="A35" t="s">
        <v>1073</v>
      </c>
      <c r="B35" t="s">
        <v>1048</v>
      </c>
      <c r="C35" t="s">
        <v>1056</v>
      </c>
      <c r="D35" t="s">
        <v>1057</v>
      </c>
      <c r="E35">
        <v>15</v>
      </c>
      <c r="F35">
        <v>19</v>
      </c>
      <c r="G35">
        <v>40</v>
      </c>
      <c r="H35">
        <v>0.3</v>
      </c>
      <c r="I35">
        <v>1</v>
      </c>
      <c r="J35" t="s">
        <v>1051</v>
      </c>
      <c r="K35" t="s">
        <v>1052</v>
      </c>
      <c r="L35" t="s">
        <v>1053</v>
      </c>
      <c r="M35" t="s">
        <v>1054</v>
      </c>
    </row>
    <row r="36" spans="1:13" ht="31.2" customHeight="1">
      <c r="A36" t="s">
        <v>1074</v>
      </c>
      <c r="B36" t="s">
        <v>1048</v>
      </c>
      <c r="C36" t="s">
        <v>1059</v>
      </c>
      <c r="D36" t="s">
        <v>1060</v>
      </c>
      <c r="E36">
        <v>15</v>
      </c>
      <c r="F36">
        <v>19</v>
      </c>
      <c r="G36">
        <v>22</v>
      </c>
      <c r="H36">
        <v>0.8</v>
      </c>
      <c r="I36">
        <v>1.05</v>
      </c>
      <c r="J36" t="s">
        <v>1051</v>
      </c>
      <c r="K36" t="s">
        <v>1052</v>
      </c>
      <c r="L36" t="s">
        <v>1053</v>
      </c>
      <c r="M36" t="s">
        <v>1054</v>
      </c>
    </row>
    <row r="37" spans="1:13" ht="31.2" customHeight="1">
      <c r="A37" t="s">
        <v>1075</v>
      </c>
      <c r="B37" t="s">
        <v>1048</v>
      </c>
      <c r="C37" t="s">
        <v>1062</v>
      </c>
      <c r="D37" t="s">
        <v>1063</v>
      </c>
      <c r="E37">
        <v>15</v>
      </c>
      <c r="F37">
        <v>19</v>
      </c>
      <c r="G37">
        <v>3</v>
      </c>
      <c r="H37">
        <v>1.2</v>
      </c>
      <c r="I37">
        <v>1.1000000000000001</v>
      </c>
      <c r="J37" t="s">
        <v>1051</v>
      </c>
      <c r="K37" t="s">
        <v>1052</v>
      </c>
      <c r="L37" t="s">
        <v>1053</v>
      </c>
      <c r="M37" t="s">
        <v>1054</v>
      </c>
    </row>
    <row r="38" spans="1:13" ht="31.2" customHeight="1">
      <c r="A38" t="s">
        <v>1076</v>
      </c>
      <c r="B38" t="s">
        <v>1048</v>
      </c>
      <c r="C38" t="s">
        <v>1049</v>
      </c>
      <c r="D38" t="s">
        <v>1050</v>
      </c>
      <c r="E38">
        <v>20</v>
      </c>
      <c r="F38" t="s">
        <v>687</v>
      </c>
      <c r="G38">
        <v>25</v>
      </c>
      <c r="H38">
        <v>-0.3</v>
      </c>
      <c r="I38">
        <v>1</v>
      </c>
      <c r="J38" t="s">
        <v>1051</v>
      </c>
      <c r="K38" t="s">
        <v>1052</v>
      </c>
      <c r="L38" t="s">
        <v>1053</v>
      </c>
      <c r="M38" t="s">
        <v>1054</v>
      </c>
    </row>
    <row r="39" spans="1:13" ht="31.2" customHeight="1">
      <c r="A39" t="s">
        <v>1077</v>
      </c>
      <c r="B39" t="s">
        <v>1048</v>
      </c>
      <c r="C39" t="s">
        <v>1056</v>
      </c>
      <c r="D39" t="s">
        <v>1057</v>
      </c>
      <c r="E39">
        <v>20</v>
      </c>
      <c r="F39" t="s">
        <v>687</v>
      </c>
      <c r="G39">
        <v>35</v>
      </c>
      <c r="H39">
        <v>0.3</v>
      </c>
      <c r="I39">
        <v>1</v>
      </c>
      <c r="J39" t="s">
        <v>1051</v>
      </c>
      <c r="K39" t="s">
        <v>1052</v>
      </c>
      <c r="L39" t="s">
        <v>1053</v>
      </c>
      <c r="M39" t="s">
        <v>1054</v>
      </c>
    </row>
    <row r="40" spans="1:13" ht="31.2" customHeight="1">
      <c r="A40" t="s">
        <v>1078</v>
      </c>
      <c r="B40" t="s">
        <v>1048</v>
      </c>
      <c r="C40" t="s">
        <v>1059</v>
      </c>
      <c r="D40" t="s">
        <v>1060</v>
      </c>
      <c r="E40">
        <v>20</v>
      </c>
      <c r="F40" t="s">
        <v>687</v>
      </c>
      <c r="G40">
        <v>32</v>
      </c>
      <c r="H40">
        <v>0.8</v>
      </c>
      <c r="I40">
        <v>1.05</v>
      </c>
      <c r="J40" t="s">
        <v>1051</v>
      </c>
      <c r="K40" t="s">
        <v>1052</v>
      </c>
      <c r="L40" t="s">
        <v>1053</v>
      </c>
      <c r="M40" t="s">
        <v>1054</v>
      </c>
    </row>
    <row r="41" spans="1:13" ht="31.2" customHeight="1">
      <c r="A41" t="s">
        <v>1079</v>
      </c>
      <c r="B41" t="s">
        <v>1048</v>
      </c>
      <c r="C41" t="s">
        <v>1062</v>
      </c>
      <c r="D41" t="s">
        <v>1063</v>
      </c>
      <c r="E41">
        <v>20</v>
      </c>
      <c r="F41" t="s">
        <v>687</v>
      </c>
      <c r="G41">
        <v>8</v>
      </c>
      <c r="H41">
        <v>1.2</v>
      </c>
      <c r="I41">
        <v>1.1000000000000001</v>
      </c>
      <c r="J41" t="s">
        <v>1051</v>
      </c>
      <c r="K41" t="s">
        <v>1052</v>
      </c>
      <c r="L41" t="s">
        <v>1053</v>
      </c>
      <c r="M41" t="s">
        <v>1054</v>
      </c>
    </row>
    <row r="42" spans="1:13" ht="31.2" customHeight="1">
      <c r="A42" t="s">
        <v>1080</v>
      </c>
      <c r="B42" t="s">
        <v>1081</v>
      </c>
      <c r="C42" t="s">
        <v>425</v>
      </c>
      <c r="D42" t="s">
        <v>98</v>
      </c>
      <c r="E42">
        <v>1</v>
      </c>
      <c r="F42" t="s">
        <v>687</v>
      </c>
      <c r="G42">
        <v>100</v>
      </c>
      <c r="H42">
        <v>-0.4</v>
      </c>
      <c r="I42">
        <v>1</v>
      </c>
      <c r="J42" t="s">
        <v>210</v>
      </c>
      <c r="K42" t="s">
        <v>1082</v>
      </c>
      <c r="L42" t="s">
        <v>429</v>
      </c>
      <c r="M42" t="s">
        <v>1083</v>
      </c>
    </row>
    <row r="43" spans="1:13" ht="31.2" customHeight="1">
      <c r="A43" t="s">
        <v>1084</v>
      </c>
      <c r="B43" t="s">
        <v>1081</v>
      </c>
      <c r="C43" t="s">
        <v>431</v>
      </c>
      <c r="D43" t="s">
        <v>98</v>
      </c>
      <c r="E43">
        <v>1</v>
      </c>
      <c r="F43" t="s">
        <v>687</v>
      </c>
      <c r="G43">
        <v>100</v>
      </c>
      <c r="H43">
        <v>-0.4</v>
      </c>
      <c r="I43">
        <v>1</v>
      </c>
      <c r="J43" t="s">
        <v>210</v>
      </c>
      <c r="K43" t="s">
        <v>1082</v>
      </c>
      <c r="L43" t="s">
        <v>429</v>
      </c>
      <c r="M43" t="s">
        <v>1083</v>
      </c>
    </row>
    <row r="44" spans="1:13" ht="31.2" customHeight="1">
      <c r="A44" t="s">
        <v>1085</v>
      </c>
      <c r="B44" t="s">
        <v>1081</v>
      </c>
      <c r="C44" t="s">
        <v>436</v>
      </c>
      <c r="D44" t="s">
        <v>98</v>
      </c>
      <c r="E44">
        <v>1</v>
      </c>
      <c r="F44" t="s">
        <v>687</v>
      </c>
      <c r="G44">
        <v>95</v>
      </c>
      <c r="H44">
        <v>-0.4</v>
      </c>
      <c r="I44">
        <v>1</v>
      </c>
      <c r="J44" t="s">
        <v>210</v>
      </c>
      <c r="K44" t="s">
        <v>1082</v>
      </c>
      <c r="L44" t="s">
        <v>429</v>
      </c>
      <c r="M44" t="s">
        <v>1083</v>
      </c>
    </row>
    <row r="45" spans="1:13" ht="31.2" customHeight="1">
      <c r="A45" t="s">
        <v>1086</v>
      </c>
      <c r="B45" t="s">
        <v>1081</v>
      </c>
      <c r="C45" t="s">
        <v>441</v>
      </c>
      <c r="D45" t="s">
        <v>98</v>
      </c>
      <c r="E45">
        <v>1</v>
      </c>
      <c r="F45" t="s">
        <v>687</v>
      </c>
      <c r="G45">
        <v>80</v>
      </c>
      <c r="H45">
        <v>-0.4</v>
      </c>
      <c r="I45">
        <v>1</v>
      </c>
      <c r="J45" t="s">
        <v>210</v>
      </c>
      <c r="K45" t="s">
        <v>1082</v>
      </c>
      <c r="L45" t="s">
        <v>429</v>
      </c>
      <c r="M45" t="s">
        <v>1083</v>
      </c>
    </row>
    <row r="46" spans="1:13" ht="31.2" customHeight="1">
      <c r="A46" t="s">
        <v>1087</v>
      </c>
      <c r="B46" t="s">
        <v>1081</v>
      </c>
      <c r="C46" t="s">
        <v>446</v>
      </c>
      <c r="D46" t="s">
        <v>98</v>
      </c>
      <c r="E46">
        <v>1</v>
      </c>
      <c r="F46" t="s">
        <v>687</v>
      </c>
      <c r="G46">
        <v>80</v>
      </c>
      <c r="H46">
        <v>-0.4</v>
      </c>
      <c r="I46">
        <v>1</v>
      </c>
      <c r="J46" t="s">
        <v>210</v>
      </c>
      <c r="K46" t="s">
        <v>1082</v>
      </c>
      <c r="L46" t="s">
        <v>429</v>
      </c>
      <c r="M46" t="s">
        <v>1083</v>
      </c>
    </row>
    <row r="47" spans="1:13" ht="31.2" customHeight="1">
      <c r="A47" t="s">
        <v>1088</v>
      </c>
      <c r="B47" t="s">
        <v>1081</v>
      </c>
      <c r="C47" t="s">
        <v>450</v>
      </c>
      <c r="D47" t="s">
        <v>98</v>
      </c>
      <c r="E47">
        <v>1</v>
      </c>
      <c r="F47" t="s">
        <v>687</v>
      </c>
      <c r="G47">
        <v>75</v>
      </c>
      <c r="H47">
        <v>-0.4</v>
      </c>
      <c r="I47">
        <v>1</v>
      </c>
      <c r="J47" t="s">
        <v>210</v>
      </c>
      <c r="K47" t="s">
        <v>1082</v>
      </c>
      <c r="L47" t="s">
        <v>429</v>
      </c>
      <c r="M47" t="s">
        <v>1083</v>
      </c>
    </row>
    <row r="48" spans="1:13" ht="31.2" customHeight="1">
      <c r="A48" t="s">
        <v>1089</v>
      </c>
      <c r="B48" t="s">
        <v>1081</v>
      </c>
      <c r="C48" t="s">
        <v>454</v>
      </c>
      <c r="D48" t="s">
        <v>98</v>
      </c>
      <c r="E48">
        <v>1</v>
      </c>
      <c r="F48" t="s">
        <v>687</v>
      </c>
      <c r="G48">
        <v>45</v>
      </c>
      <c r="H48">
        <v>-0.4</v>
      </c>
      <c r="I48">
        <v>1</v>
      </c>
      <c r="J48" t="s">
        <v>210</v>
      </c>
      <c r="K48" t="s">
        <v>1082</v>
      </c>
      <c r="L48" t="s">
        <v>429</v>
      </c>
      <c r="M48" t="s">
        <v>1083</v>
      </c>
    </row>
    <row r="49" spans="1:13" ht="31.2" customHeight="1">
      <c r="A49" t="s">
        <v>1090</v>
      </c>
      <c r="B49" t="s">
        <v>1081</v>
      </c>
      <c r="C49" t="s">
        <v>459</v>
      </c>
      <c r="D49" t="s">
        <v>98</v>
      </c>
      <c r="E49">
        <v>1</v>
      </c>
      <c r="F49" t="s">
        <v>687</v>
      </c>
      <c r="G49">
        <v>70</v>
      </c>
      <c r="H49">
        <v>-0.4</v>
      </c>
      <c r="I49">
        <v>1</v>
      </c>
      <c r="J49" t="s">
        <v>210</v>
      </c>
      <c r="K49" t="s">
        <v>1082</v>
      </c>
      <c r="L49" t="s">
        <v>429</v>
      </c>
      <c r="M49" t="s">
        <v>1083</v>
      </c>
    </row>
    <row r="50" spans="1:13" ht="31.2" customHeight="1">
      <c r="A50" t="s">
        <v>1091</v>
      </c>
      <c r="B50" t="s">
        <v>1081</v>
      </c>
      <c r="C50" t="s">
        <v>464</v>
      </c>
      <c r="D50" t="s">
        <v>98</v>
      </c>
      <c r="E50">
        <v>1</v>
      </c>
      <c r="F50" t="s">
        <v>687</v>
      </c>
      <c r="G50">
        <v>65</v>
      </c>
      <c r="H50">
        <v>-0.4</v>
      </c>
      <c r="I50">
        <v>1</v>
      </c>
      <c r="J50" t="s">
        <v>210</v>
      </c>
      <c r="K50" t="s">
        <v>1082</v>
      </c>
      <c r="L50" t="s">
        <v>429</v>
      </c>
      <c r="M50" t="s">
        <v>1083</v>
      </c>
    </row>
    <row r="51" spans="1:13" ht="31.2" customHeight="1">
      <c r="A51" t="s">
        <v>1092</v>
      </c>
      <c r="B51" t="s">
        <v>1081</v>
      </c>
      <c r="C51" t="s">
        <v>469</v>
      </c>
      <c r="D51" t="s">
        <v>100</v>
      </c>
      <c r="E51">
        <v>3</v>
      </c>
      <c r="F51" t="s">
        <v>687</v>
      </c>
      <c r="G51">
        <v>60</v>
      </c>
      <c r="H51">
        <v>0.4</v>
      </c>
      <c r="I51">
        <v>1.05</v>
      </c>
      <c r="J51" t="s">
        <v>210</v>
      </c>
      <c r="K51" t="s">
        <v>1082</v>
      </c>
      <c r="L51" t="s">
        <v>429</v>
      </c>
      <c r="M51" t="s">
        <v>1083</v>
      </c>
    </row>
    <row r="52" spans="1:13" ht="31.2" customHeight="1">
      <c r="A52" t="s">
        <v>1093</v>
      </c>
      <c r="B52" t="s">
        <v>1081</v>
      </c>
      <c r="C52" t="s">
        <v>474</v>
      </c>
      <c r="D52" t="s">
        <v>100</v>
      </c>
      <c r="E52">
        <v>3</v>
      </c>
      <c r="F52" t="s">
        <v>687</v>
      </c>
      <c r="G52">
        <v>85</v>
      </c>
      <c r="H52">
        <v>0.4</v>
      </c>
      <c r="I52">
        <v>1.05</v>
      </c>
      <c r="J52" t="s">
        <v>210</v>
      </c>
      <c r="K52" t="s">
        <v>1082</v>
      </c>
      <c r="L52" t="s">
        <v>429</v>
      </c>
      <c r="M52" t="s">
        <v>1083</v>
      </c>
    </row>
    <row r="53" spans="1:13" ht="31.2" customHeight="1">
      <c r="A53" t="s">
        <v>1094</v>
      </c>
      <c r="B53" t="s">
        <v>1081</v>
      </c>
      <c r="C53" t="s">
        <v>478</v>
      </c>
      <c r="D53" t="s">
        <v>100</v>
      </c>
      <c r="E53">
        <v>3</v>
      </c>
      <c r="F53" t="s">
        <v>687</v>
      </c>
      <c r="G53">
        <v>85</v>
      </c>
      <c r="H53">
        <v>0.4</v>
      </c>
      <c r="I53">
        <v>1.05</v>
      </c>
      <c r="J53" t="s">
        <v>210</v>
      </c>
      <c r="K53" t="s">
        <v>1082</v>
      </c>
      <c r="L53" t="s">
        <v>429</v>
      </c>
      <c r="M53" t="s">
        <v>1083</v>
      </c>
    </row>
    <row r="54" spans="1:13" ht="31.2" customHeight="1">
      <c r="A54" t="s">
        <v>1095</v>
      </c>
      <c r="B54" t="s">
        <v>1081</v>
      </c>
      <c r="C54" t="s">
        <v>482</v>
      </c>
      <c r="D54" t="s">
        <v>100</v>
      </c>
      <c r="E54">
        <v>3</v>
      </c>
      <c r="F54" t="s">
        <v>687</v>
      </c>
      <c r="G54">
        <v>70</v>
      </c>
      <c r="H54">
        <v>0.4</v>
      </c>
      <c r="I54">
        <v>1.05</v>
      </c>
      <c r="J54" t="s">
        <v>210</v>
      </c>
      <c r="K54" t="s">
        <v>1082</v>
      </c>
      <c r="L54" t="s">
        <v>429</v>
      </c>
      <c r="M54" t="s">
        <v>1083</v>
      </c>
    </row>
    <row r="55" spans="1:13" ht="31.2" customHeight="1">
      <c r="A55" t="s">
        <v>1096</v>
      </c>
      <c r="B55" t="s">
        <v>1081</v>
      </c>
      <c r="C55" t="s">
        <v>487</v>
      </c>
      <c r="D55" t="s">
        <v>100</v>
      </c>
      <c r="E55">
        <v>3</v>
      </c>
      <c r="F55" t="s">
        <v>687</v>
      </c>
      <c r="G55">
        <v>70</v>
      </c>
      <c r="H55">
        <v>0.4</v>
      </c>
      <c r="I55">
        <v>1.05</v>
      </c>
      <c r="J55" t="s">
        <v>210</v>
      </c>
      <c r="K55" t="s">
        <v>1082</v>
      </c>
      <c r="L55" t="s">
        <v>429</v>
      </c>
      <c r="M55" t="s">
        <v>1083</v>
      </c>
    </row>
    <row r="56" spans="1:13" ht="31.2" customHeight="1">
      <c r="A56" t="s">
        <v>1097</v>
      </c>
      <c r="B56" t="s">
        <v>1081</v>
      </c>
      <c r="C56" t="s">
        <v>490</v>
      </c>
      <c r="D56" t="s">
        <v>100</v>
      </c>
      <c r="E56">
        <v>3</v>
      </c>
      <c r="F56" t="s">
        <v>687</v>
      </c>
      <c r="G56">
        <v>70</v>
      </c>
      <c r="H56">
        <v>0.4</v>
      </c>
      <c r="I56">
        <v>1.05</v>
      </c>
      <c r="J56" t="s">
        <v>210</v>
      </c>
      <c r="K56" t="s">
        <v>1082</v>
      </c>
      <c r="L56" t="s">
        <v>429</v>
      </c>
      <c r="M56" t="s">
        <v>1083</v>
      </c>
    </row>
    <row r="57" spans="1:13" ht="31.2" customHeight="1">
      <c r="A57" t="s">
        <v>1098</v>
      </c>
      <c r="B57" t="s">
        <v>1081</v>
      </c>
      <c r="C57" t="s">
        <v>493</v>
      </c>
      <c r="D57" t="s">
        <v>100</v>
      </c>
      <c r="E57">
        <v>3</v>
      </c>
      <c r="F57" t="s">
        <v>687</v>
      </c>
      <c r="G57">
        <v>70</v>
      </c>
      <c r="H57">
        <v>0.4</v>
      </c>
      <c r="I57">
        <v>1.05</v>
      </c>
      <c r="J57" t="s">
        <v>210</v>
      </c>
      <c r="K57" t="s">
        <v>1082</v>
      </c>
      <c r="L57" t="s">
        <v>429</v>
      </c>
      <c r="M57" t="s">
        <v>1083</v>
      </c>
    </row>
    <row r="58" spans="1:13" ht="31.2" customHeight="1">
      <c r="A58" t="s">
        <v>1099</v>
      </c>
      <c r="B58" t="s">
        <v>1081</v>
      </c>
      <c r="C58" t="s">
        <v>496</v>
      </c>
      <c r="D58" t="s">
        <v>100</v>
      </c>
      <c r="E58">
        <v>4</v>
      </c>
      <c r="F58" t="s">
        <v>687</v>
      </c>
      <c r="G58">
        <v>50</v>
      </c>
      <c r="H58">
        <v>0.4</v>
      </c>
      <c r="I58">
        <v>1.05</v>
      </c>
      <c r="J58" t="s">
        <v>210</v>
      </c>
      <c r="K58" t="s">
        <v>1082</v>
      </c>
      <c r="L58" t="s">
        <v>429</v>
      </c>
      <c r="M58" t="s">
        <v>1083</v>
      </c>
    </row>
    <row r="59" spans="1:13" ht="31.2" customHeight="1">
      <c r="A59" t="s">
        <v>1100</v>
      </c>
      <c r="B59" t="s">
        <v>1081</v>
      </c>
      <c r="C59" t="s">
        <v>502</v>
      </c>
      <c r="D59" t="s">
        <v>100</v>
      </c>
      <c r="E59">
        <v>4</v>
      </c>
      <c r="F59" t="s">
        <v>687</v>
      </c>
      <c r="G59">
        <v>50</v>
      </c>
      <c r="H59">
        <v>0.4</v>
      </c>
      <c r="I59">
        <v>1.05</v>
      </c>
      <c r="J59" t="s">
        <v>210</v>
      </c>
      <c r="K59" t="s">
        <v>1082</v>
      </c>
      <c r="L59" t="s">
        <v>429</v>
      </c>
      <c r="M59" t="s">
        <v>1083</v>
      </c>
    </row>
    <row r="60" spans="1:13" ht="31.2" customHeight="1">
      <c r="A60" t="s">
        <v>1101</v>
      </c>
      <c r="B60" t="s">
        <v>1081</v>
      </c>
      <c r="C60" t="s">
        <v>507</v>
      </c>
      <c r="D60" t="s">
        <v>100</v>
      </c>
      <c r="E60">
        <v>5</v>
      </c>
      <c r="F60" t="s">
        <v>687</v>
      </c>
      <c r="G60">
        <v>35</v>
      </c>
      <c r="H60">
        <v>0.4</v>
      </c>
      <c r="I60">
        <v>1.05</v>
      </c>
      <c r="J60" t="s">
        <v>210</v>
      </c>
      <c r="K60" t="s">
        <v>1082</v>
      </c>
      <c r="L60" t="s">
        <v>429</v>
      </c>
      <c r="M60" t="s">
        <v>1083</v>
      </c>
    </row>
    <row r="61" spans="1:13" ht="31.2" customHeight="1">
      <c r="A61" t="s">
        <v>1102</v>
      </c>
      <c r="B61" t="s">
        <v>1081</v>
      </c>
      <c r="C61" t="s">
        <v>512</v>
      </c>
      <c r="D61" t="s">
        <v>100</v>
      </c>
      <c r="E61">
        <v>2</v>
      </c>
      <c r="F61" t="s">
        <v>1103</v>
      </c>
      <c r="G61">
        <v>25</v>
      </c>
      <c r="H61">
        <v>0.4</v>
      </c>
      <c r="I61">
        <v>1.1499999999999999</v>
      </c>
      <c r="J61" t="s">
        <v>210</v>
      </c>
      <c r="K61" t="s">
        <v>1082</v>
      </c>
      <c r="L61" t="s">
        <v>429</v>
      </c>
      <c r="M61" t="s">
        <v>1083</v>
      </c>
    </row>
    <row r="62" spans="1:13" ht="31.2" customHeight="1">
      <c r="A62" t="s">
        <v>1104</v>
      </c>
      <c r="B62" t="s">
        <v>1081</v>
      </c>
      <c r="C62" t="s">
        <v>518</v>
      </c>
      <c r="D62" t="s">
        <v>100</v>
      </c>
      <c r="E62">
        <v>1</v>
      </c>
      <c r="F62" t="s">
        <v>1105</v>
      </c>
      <c r="G62">
        <v>25</v>
      </c>
      <c r="H62">
        <v>0.4</v>
      </c>
      <c r="I62">
        <v>1.1499999999999999</v>
      </c>
      <c r="J62" t="s">
        <v>210</v>
      </c>
      <c r="K62" t="s">
        <v>1082</v>
      </c>
      <c r="L62" t="s">
        <v>429</v>
      </c>
      <c r="M62" t="s">
        <v>1083</v>
      </c>
    </row>
    <row r="63" spans="1:13" ht="31.2" customHeight="1">
      <c r="A63" t="s">
        <v>1106</v>
      </c>
      <c r="B63" t="s">
        <v>1081</v>
      </c>
      <c r="C63" t="s">
        <v>523</v>
      </c>
      <c r="D63" t="s">
        <v>100</v>
      </c>
      <c r="E63">
        <v>3</v>
      </c>
      <c r="F63" t="s">
        <v>687</v>
      </c>
      <c r="G63">
        <v>65</v>
      </c>
      <c r="H63">
        <v>0.4</v>
      </c>
      <c r="I63">
        <v>1.05</v>
      </c>
      <c r="J63" t="s">
        <v>210</v>
      </c>
      <c r="K63" t="s">
        <v>1082</v>
      </c>
      <c r="L63" t="s">
        <v>429</v>
      </c>
      <c r="M63" t="s">
        <v>1083</v>
      </c>
    </row>
    <row r="64" spans="1:13" ht="31.2" customHeight="1">
      <c r="A64" t="s">
        <v>1107</v>
      </c>
      <c r="B64" t="s">
        <v>1081</v>
      </c>
      <c r="C64" t="s">
        <v>529</v>
      </c>
      <c r="D64" t="s">
        <v>100</v>
      </c>
      <c r="E64">
        <v>3</v>
      </c>
      <c r="F64" t="s">
        <v>687</v>
      </c>
      <c r="G64">
        <v>60</v>
      </c>
      <c r="H64">
        <v>0.4</v>
      </c>
      <c r="I64">
        <v>1.05</v>
      </c>
      <c r="J64" t="s">
        <v>210</v>
      </c>
      <c r="K64" t="s">
        <v>1082</v>
      </c>
      <c r="L64" t="s">
        <v>429</v>
      </c>
      <c r="M64" t="s">
        <v>1083</v>
      </c>
    </row>
    <row r="65" spans="1:13" ht="31.2" customHeight="1">
      <c r="A65" t="s">
        <v>1108</v>
      </c>
      <c r="B65" t="s">
        <v>1081</v>
      </c>
      <c r="C65" t="s">
        <v>534</v>
      </c>
      <c r="D65" t="s">
        <v>100</v>
      </c>
      <c r="E65">
        <v>4</v>
      </c>
      <c r="F65" t="s">
        <v>687</v>
      </c>
      <c r="G65">
        <v>55</v>
      </c>
      <c r="H65">
        <v>0.4</v>
      </c>
      <c r="I65">
        <v>1.05</v>
      </c>
      <c r="J65" t="s">
        <v>210</v>
      </c>
      <c r="K65" t="s">
        <v>1082</v>
      </c>
      <c r="L65" t="s">
        <v>429</v>
      </c>
      <c r="M65" t="s">
        <v>1083</v>
      </c>
    </row>
    <row r="66" spans="1:13" ht="31.2" customHeight="1">
      <c r="A66" t="s">
        <v>1109</v>
      </c>
      <c r="B66" t="s">
        <v>1081</v>
      </c>
      <c r="C66" t="s">
        <v>538</v>
      </c>
      <c r="D66" t="s">
        <v>101</v>
      </c>
      <c r="E66">
        <v>6</v>
      </c>
      <c r="F66" t="s">
        <v>687</v>
      </c>
      <c r="G66">
        <v>40</v>
      </c>
      <c r="H66">
        <v>0.9</v>
      </c>
      <c r="I66">
        <v>1.1000000000000001</v>
      </c>
      <c r="J66" t="s">
        <v>210</v>
      </c>
      <c r="K66" t="s">
        <v>1082</v>
      </c>
      <c r="L66" t="s">
        <v>429</v>
      </c>
      <c r="M66" t="s">
        <v>1083</v>
      </c>
    </row>
    <row r="67" spans="1:13" ht="31.2" customHeight="1">
      <c r="A67" t="s">
        <v>1110</v>
      </c>
      <c r="B67" t="s">
        <v>1081</v>
      </c>
      <c r="C67" t="s">
        <v>543</v>
      </c>
      <c r="D67" t="s">
        <v>101</v>
      </c>
      <c r="E67">
        <v>6</v>
      </c>
      <c r="F67" t="s">
        <v>687</v>
      </c>
      <c r="G67">
        <v>45</v>
      </c>
      <c r="H67">
        <v>0.9</v>
      </c>
      <c r="I67">
        <v>1.1000000000000001</v>
      </c>
      <c r="J67" t="s">
        <v>210</v>
      </c>
      <c r="K67" t="s">
        <v>1082</v>
      </c>
      <c r="L67" t="s">
        <v>429</v>
      </c>
      <c r="M67" t="s">
        <v>1083</v>
      </c>
    </row>
    <row r="68" spans="1:13" ht="31.2" customHeight="1">
      <c r="A68" t="s">
        <v>1111</v>
      </c>
      <c r="B68" t="s">
        <v>1081</v>
      </c>
      <c r="C68" t="s">
        <v>547</v>
      </c>
      <c r="D68" t="s">
        <v>101</v>
      </c>
      <c r="E68">
        <v>7</v>
      </c>
      <c r="F68" t="s">
        <v>687</v>
      </c>
      <c r="G68">
        <v>35</v>
      </c>
      <c r="H68">
        <v>0.9</v>
      </c>
      <c r="I68">
        <v>1.1000000000000001</v>
      </c>
      <c r="J68" t="s">
        <v>210</v>
      </c>
      <c r="K68" t="s">
        <v>1082</v>
      </c>
      <c r="L68" t="s">
        <v>429</v>
      </c>
      <c r="M68" t="s">
        <v>1083</v>
      </c>
    </row>
    <row r="69" spans="1:13" ht="31.2" customHeight="1">
      <c r="A69" t="s">
        <v>1112</v>
      </c>
      <c r="B69" t="s">
        <v>1081</v>
      </c>
      <c r="C69" t="s">
        <v>552</v>
      </c>
      <c r="D69" t="s">
        <v>101</v>
      </c>
      <c r="E69">
        <v>6</v>
      </c>
      <c r="F69" t="s">
        <v>687</v>
      </c>
      <c r="G69">
        <v>45</v>
      </c>
      <c r="H69">
        <v>0.9</v>
      </c>
      <c r="I69">
        <v>1.1000000000000001</v>
      </c>
      <c r="J69" t="s">
        <v>210</v>
      </c>
      <c r="K69" t="s">
        <v>1082</v>
      </c>
      <c r="L69" t="s">
        <v>429</v>
      </c>
      <c r="M69" t="s">
        <v>1083</v>
      </c>
    </row>
    <row r="70" spans="1:13" ht="31.2" customHeight="1">
      <c r="A70" t="s">
        <v>1113</v>
      </c>
      <c r="B70" t="s">
        <v>1081</v>
      </c>
      <c r="C70" t="s">
        <v>556</v>
      </c>
      <c r="D70" t="s">
        <v>101</v>
      </c>
      <c r="E70">
        <v>10</v>
      </c>
      <c r="F70" t="s">
        <v>687</v>
      </c>
      <c r="G70">
        <v>18</v>
      </c>
      <c r="H70">
        <v>0.9</v>
      </c>
      <c r="I70">
        <v>1.1000000000000001</v>
      </c>
      <c r="J70" t="s">
        <v>560</v>
      </c>
      <c r="K70" t="s">
        <v>1082</v>
      </c>
      <c r="L70" t="s">
        <v>429</v>
      </c>
      <c r="M70" t="s">
        <v>1083</v>
      </c>
    </row>
    <row r="71" spans="1:13" ht="31.2" customHeight="1">
      <c r="A71" t="s">
        <v>1114</v>
      </c>
      <c r="B71" t="s">
        <v>1081</v>
      </c>
      <c r="C71" t="s">
        <v>563</v>
      </c>
      <c r="D71" t="s">
        <v>101</v>
      </c>
      <c r="E71">
        <v>8</v>
      </c>
      <c r="F71" t="s">
        <v>687</v>
      </c>
      <c r="G71">
        <v>30</v>
      </c>
      <c r="H71">
        <v>0.9</v>
      </c>
      <c r="I71">
        <v>1.1000000000000001</v>
      </c>
      <c r="J71" t="s">
        <v>210</v>
      </c>
      <c r="K71" t="s">
        <v>1082</v>
      </c>
      <c r="L71" t="s">
        <v>429</v>
      </c>
      <c r="M71" t="s">
        <v>1083</v>
      </c>
    </row>
    <row r="72" spans="1:13" ht="31.2" customHeight="1">
      <c r="A72" t="s">
        <v>1115</v>
      </c>
      <c r="B72" t="s">
        <v>1081</v>
      </c>
      <c r="C72" t="s">
        <v>568</v>
      </c>
      <c r="D72" t="s">
        <v>101</v>
      </c>
      <c r="E72">
        <v>1</v>
      </c>
      <c r="F72" t="s">
        <v>1105</v>
      </c>
      <c r="G72">
        <v>12</v>
      </c>
      <c r="H72">
        <v>0.9</v>
      </c>
      <c r="I72">
        <v>1.2</v>
      </c>
      <c r="J72" t="s">
        <v>210</v>
      </c>
      <c r="K72" t="s">
        <v>1082</v>
      </c>
      <c r="L72" t="s">
        <v>429</v>
      </c>
      <c r="M72" t="s">
        <v>1083</v>
      </c>
    </row>
    <row r="73" spans="1:13" ht="31.2" customHeight="1">
      <c r="A73" t="s">
        <v>1116</v>
      </c>
      <c r="B73" t="s">
        <v>1081</v>
      </c>
      <c r="C73" t="s">
        <v>572</v>
      </c>
      <c r="D73" t="s">
        <v>101</v>
      </c>
      <c r="E73">
        <v>6</v>
      </c>
      <c r="F73" t="s">
        <v>687</v>
      </c>
      <c r="G73">
        <v>35</v>
      </c>
      <c r="H73">
        <v>0.9</v>
      </c>
      <c r="I73">
        <v>1.1000000000000001</v>
      </c>
      <c r="J73" t="s">
        <v>210</v>
      </c>
      <c r="K73" t="s">
        <v>1082</v>
      </c>
      <c r="L73" t="s">
        <v>429</v>
      </c>
      <c r="M73" t="s">
        <v>1083</v>
      </c>
    </row>
    <row r="74" spans="1:13" ht="31.2" customHeight="1">
      <c r="A74" t="s">
        <v>1117</v>
      </c>
      <c r="B74" t="s">
        <v>1081</v>
      </c>
      <c r="C74" t="s">
        <v>577</v>
      </c>
      <c r="D74" t="s">
        <v>101</v>
      </c>
      <c r="E74">
        <v>7</v>
      </c>
      <c r="F74" t="s">
        <v>687</v>
      </c>
      <c r="G74">
        <v>25</v>
      </c>
      <c r="H74">
        <v>0.9</v>
      </c>
      <c r="I74">
        <v>1.1000000000000001</v>
      </c>
      <c r="J74" t="s">
        <v>210</v>
      </c>
      <c r="K74" t="s">
        <v>1082</v>
      </c>
      <c r="L74" t="s">
        <v>429</v>
      </c>
      <c r="M74" t="s">
        <v>1083</v>
      </c>
    </row>
    <row r="75" spans="1:13" ht="31.2" customHeight="1">
      <c r="A75" t="s">
        <v>1118</v>
      </c>
      <c r="B75" t="s">
        <v>1081</v>
      </c>
      <c r="C75" t="s">
        <v>582</v>
      </c>
      <c r="D75" t="s">
        <v>101</v>
      </c>
      <c r="E75">
        <v>8</v>
      </c>
      <c r="F75" t="s">
        <v>687</v>
      </c>
      <c r="G75">
        <v>28</v>
      </c>
      <c r="H75">
        <v>0.9</v>
      </c>
      <c r="I75">
        <v>1.1000000000000001</v>
      </c>
      <c r="J75" t="s">
        <v>210</v>
      </c>
      <c r="K75" t="s">
        <v>1082</v>
      </c>
      <c r="L75" t="s">
        <v>429</v>
      </c>
      <c r="M75" t="s">
        <v>1083</v>
      </c>
    </row>
    <row r="76" spans="1:13" ht="31.2" customHeight="1">
      <c r="A76" t="s">
        <v>1119</v>
      </c>
      <c r="B76" t="s">
        <v>1081</v>
      </c>
      <c r="C76" t="s">
        <v>586</v>
      </c>
      <c r="D76" t="s">
        <v>102</v>
      </c>
      <c r="E76">
        <v>15</v>
      </c>
      <c r="F76" t="s">
        <v>687</v>
      </c>
      <c r="G76">
        <v>3</v>
      </c>
      <c r="H76">
        <v>1.4</v>
      </c>
      <c r="I76">
        <v>1.2</v>
      </c>
      <c r="J76" t="s">
        <v>590</v>
      </c>
      <c r="K76" t="s">
        <v>1082</v>
      </c>
      <c r="L76" t="s">
        <v>1120</v>
      </c>
      <c r="M76" t="s">
        <v>1083</v>
      </c>
    </row>
    <row r="77" spans="1:13" ht="31.2" customHeight="1">
      <c r="A77" t="s">
        <v>1121</v>
      </c>
      <c r="B77" t="s">
        <v>1081</v>
      </c>
      <c r="C77" t="s">
        <v>594</v>
      </c>
      <c r="D77" t="s">
        <v>102</v>
      </c>
      <c r="E77">
        <v>12</v>
      </c>
      <c r="F77" t="s">
        <v>687</v>
      </c>
      <c r="G77">
        <v>8</v>
      </c>
      <c r="H77">
        <v>1.4</v>
      </c>
      <c r="I77">
        <v>1.2</v>
      </c>
      <c r="J77" t="s">
        <v>210</v>
      </c>
      <c r="K77" t="s">
        <v>1082</v>
      </c>
      <c r="L77" t="s">
        <v>1120</v>
      </c>
      <c r="M77" t="s">
        <v>1083</v>
      </c>
    </row>
    <row r="78" spans="1:13" ht="31.2" customHeight="1">
      <c r="A78" t="s">
        <v>1122</v>
      </c>
      <c r="B78" t="s">
        <v>1081</v>
      </c>
      <c r="C78" t="s">
        <v>599</v>
      </c>
      <c r="D78" t="s">
        <v>102</v>
      </c>
      <c r="E78">
        <v>12</v>
      </c>
      <c r="F78" t="s">
        <v>687</v>
      </c>
      <c r="G78">
        <v>8</v>
      </c>
      <c r="H78">
        <v>1.4</v>
      </c>
      <c r="I78">
        <v>1.2</v>
      </c>
      <c r="J78" t="s">
        <v>210</v>
      </c>
      <c r="K78" t="s">
        <v>1082</v>
      </c>
      <c r="L78" t="s">
        <v>429</v>
      </c>
      <c r="M78" t="s">
        <v>1083</v>
      </c>
    </row>
    <row r="79" spans="1:13" ht="31.2" customHeight="1">
      <c r="A79" t="s">
        <v>1123</v>
      </c>
      <c r="B79" t="s">
        <v>1081</v>
      </c>
      <c r="C79" t="s">
        <v>604</v>
      </c>
      <c r="D79" t="s">
        <v>102</v>
      </c>
      <c r="E79">
        <v>12</v>
      </c>
      <c r="F79" t="s">
        <v>687</v>
      </c>
      <c r="G79">
        <v>8</v>
      </c>
      <c r="H79">
        <v>1.4</v>
      </c>
      <c r="I79">
        <v>1.2</v>
      </c>
      <c r="J79" t="s">
        <v>210</v>
      </c>
      <c r="K79" t="s">
        <v>1082</v>
      </c>
      <c r="L79" t="s">
        <v>1120</v>
      </c>
      <c r="M79" t="s">
        <v>1083</v>
      </c>
    </row>
    <row r="80" spans="1:13" ht="31.2" customHeight="1">
      <c r="A80" t="s">
        <v>1124</v>
      </c>
      <c r="B80" t="s">
        <v>1081</v>
      </c>
      <c r="C80" t="s">
        <v>608</v>
      </c>
      <c r="D80" t="s">
        <v>102</v>
      </c>
      <c r="E80">
        <v>14</v>
      </c>
      <c r="F80" t="s">
        <v>687</v>
      </c>
      <c r="G80">
        <v>5</v>
      </c>
      <c r="H80">
        <v>1.4</v>
      </c>
      <c r="I80">
        <v>1.2</v>
      </c>
      <c r="J80" t="s">
        <v>612</v>
      </c>
      <c r="K80" t="s">
        <v>1082</v>
      </c>
      <c r="L80" t="s">
        <v>1120</v>
      </c>
      <c r="M80" t="s">
        <v>1083</v>
      </c>
    </row>
    <row r="81" spans="1:13" ht="31.2" customHeight="1">
      <c r="A81" t="s">
        <v>1125</v>
      </c>
      <c r="B81" t="s">
        <v>1081</v>
      </c>
      <c r="C81" t="s">
        <v>615</v>
      </c>
      <c r="D81" t="s">
        <v>102</v>
      </c>
      <c r="E81">
        <v>12</v>
      </c>
      <c r="F81" t="s">
        <v>687</v>
      </c>
      <c r="G81">
        <v>6</v>
      </c>
      <c r="H81">
        <v>1.4</v>
      </c>
      <c r="I81">
        <v>1.2</v>
      </c>
      <c r="J81" t="s">
        <v>210</v>
      </c>
      <c r="K81" t="s">
        <v>1082</v>
      </c>
      <c r="L81" t="s">
        <v>1120</v>
      </c>
      <c r="M81" t="s">
        <v>1083</v>
      </c>
    </row>
    <row r="82" spans="1:13" ht="31.2" customHeight="1">
      <c r="A82" t="s">
        <v>1126</v>
      </c>
      <c r="B82" t="s">
        <v>1127</v>
      </c>
      <c r="C82" t="s">
        <v>626</v>
      </c>
      <c r="D82" t="s">
        <v>628</v>
      </c>
      <c r="E82">
        <v>1</v>
      </c>
      <c r="F82" t="s">
        <v>687</v>
      </c>
      <c r="G82">
        <v>80</v>
      </c>
      <c r="H82">
        <v>0</v>
      </c>
      <c r="I82">
        <v>1</v>
      </c>
      <c r="J82" t="s">
        <v>1128</v>
      </c>
      <c r="K82" t="s">
        <v>1129</v>
      </c>
      <c r="L82" t="s">
        <v>1053</v>
      </c>
      <c r="M82" t="s">
        <v>1130</v>
      </c>
    </row>
    <row r="83" spans="1:13" ht="31.2" customHeight="1">
      <c r="A83" t="s">
        <v>1131</v>
      </c>
      <c r="B83" t="s">
        <v>1127</v>
      </c>
      <c r="C83" t="s">
        <v>633</v>
      </c>
      <c r="D83" t="s">
        <v>628</v>
      </c>
      <c r="E83">
        <v>1</v>
      </c>
      <c r="F83" t="s">
        <v>687</v>
      </c>
      <c r="G83">
        <v>85</v>
      </c>
      <c r="H83">
        <v>0</v>
      </c>
      <c r="I83">
        <v>1</v>
      </c>
      <c r="J83" t="s">
        <v>1128</v>
      </c>
      <c r="K83" t="s">
        <v>1129</v>
      </c>
      <c r="L83" t="s">
        <v>1053</v>
      </c>
      <c r="M83" t="s">
        <v>1130</v>
      </c>
    </row>
    <row r="84" spans="1:13" ht="31.2" customHeight="1">
      <c r="A84" t="s">
        <v>1132</v>
      </c>
      <c r="B84" t="s">
        <v>1127</v>
      </c>
      <c r="C84" t="s">
        <v>639</v>
      </c>
      <c r="D84" t="s">
        <v>628</v>
      </c>
      <c r="E84">
        <v>1</v>
      </c>
      <c r="F84" t="s">
        <v>687</v>
      </c>
      <c r="G84">
        <v>70</v>
      </c>
      <c r="H84">
        <v>0</v>
      </c>
      <c r="I84">
        <v>1</v>
      </c>
      <c r="J84" t="s">
        <v>1128</v>
      </c>
      <c r="K84" t="s">
        <v>1129</v>
      </c>
      <c r="L84" t="s">
        <v>1053</v>
      </c>
      <c r="M84" t="s">
        <v>1130</v>
      </c>
    </row>
    <row r="85" spans="1:13" ht="31.2" customHeight="1">
      <c r="A85" t="s">
        <v>1133</v>
      </c>
      <c r="B85" t="s">
        <v>1127</v>
      </c>
      <c r="C85" t="s">
        <v>644</v>
      </c>
      <c r="D85" t="s">
        <v>646</v>
      </c>
      <c r="E85">
        <v>3</v>
      </c>
      <c r="F85" t="s">
        <v>687</v>
      </c>
      <c r="G85">
        <v>45</v>
      </c>
      <c r="H85">
        <v>0</v>
      </c>
      <c r="I85">
        <v>1.2</v>
      </c>
      <c r="J85" t="s">
        <v>1128</v>
      </c>
      <c r="K85" t="s">
        <v>1129</v>
      </c>
      <c r="L85" t="s">
        <v>1053</v>
      </c>
      <c r="M85" t="s">
        <v>1130</v>
      </c>
    </row>
    <row r="86" spans="1:13" ht="31.2" customHeight="1">
      <c r="A86" t="s">
        <v>1134</v>
      </c>
      <c r="B86" t="s">
        <v>1127</v>
      </c>
      <c r="C86" t="s">
        <v>651</v>
      </c>
      <c r="D86" t="s">
        <v>646</v>
      </c>
      <c r="E86">
        <v>4</v>
      </c>
      <c r="F86" t="s">
        <v>687</v>
      </c>
      <c r="G86">
        <v>35</v>
      </c>
      <c r="H86">
        <v>0</v>
      </c>
      <c r="I86">
        <v>1.2</v>
      </c>
      <c r="J86" t="s">
        <v>1128</v>
      </c>
      <c r="K86" t="s">
        <v>1129</v>
      </c>
      <c r="L86" t="s">
        <v>1053</v>
      </c>
      <c r="M86" t="s">
        <v>1130</v>
      </c>
    </row>
    <row r="87" spans="1:13" ht="31.2" customHeight="1">
      <c r="A87" t="s">
        <v>1135</v>
      </c>
      <c r="B87" t="s">
        <v>1127</v>
      </c>
      <c r="C87" t="s">
        <v>656</v>
      </c>
      <c r="D87" t="s">
        <v>628</v>
      </c>
      <c r="E87">
        <v>2</v>
      </c>
      <c r="F87" t="s">
        <v>687</v>
      </c>
      <c r="G87">
        <v>65</v>
      </c>
      <c r="H87">
        <v>0</v>
      </c>
      <c r="I87">
        <v>1</v>
      </c>
      <c r="J87" t="s">
        <v>1128</v>
      </c>
      <c r="K87" t="s">
        <v>1129</v>
      </c>
      <c r="L87" t="s">
        <v>1053</v>
      </c>
      <c r="M87" t="s">
        <v>1130</v>
      </c>
    </row>
    <row r="88" spans="1:13" ht="31.2" customHeight="1">
      <c r="A88" t="s">
        <v>1136</v>
      </c>
      <c r="B88" t="s">
        <v>1127</v>
      </c>
      <c r="C88" t="s">
        <v>661</v>
      </c>
      <c r="D88" t="s">
        <v>628</v>
      </c>
      <c r="E88">
        <v>1</v>
      </c>
      <c r="F88" t="s">
        <v>687</v>
      </c>
      <c r="G88">
        <v>70</v>
      </c>
      <c r="H88">
        <v>0</v>
      </c>
      <c r="I88">
        <v>1</v>
      </c>
      <c r="J88" t="s">
        <v>1128</v>
      </c>
      <c r="K88" t="s">
        <v>1129</v>
      </c>
      <c r="L88" t="s">
        <v>1053</v>
      </c>
      <c r="M88" t="s">
        <v>1130</v>
      </c>
    </row>
    <row r="89" spans="1:13" ht="31.2" customHeight="1">
      <c r="A89" t="s">
        <v>1137</v>
      </c>
      <c r="B89" t="s">
        <v>1127</v>
      </c>
      <c r="C89" t="s">
        <v>665</v>
      </c>
      <c r="D89" t="s">
        <v>646</v>
      </c>
      <c r="E89">
        <v>5</v>
      </c>
      <c r="F89" t="s">
        <v>687</v>
      </c>
      <c r="G89">
        <v>35</v>
      </c>
      <c r="H89">
        <v>0</v>
      </c>
      <c r="I89">
        <v>1.2</v>
      </c>
      <c r="J89" t="s">
        <v>1128</v>
      </c>
      <c r="K89" t="s">
        <v>1129</v>
      </c>
      <c r="L89" t="s">
        <v>1053</v>
      </c>
      <c r="M89" t="s">
        <v>1130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40.77734375" customWidth="1"/>
    <col min="2" max="2" width="14.77734375" customWidth="1"/>
    <col min="3" max="3" width="30.77734375" customWidth="1"/>
    <col min="4" max="4" width="10.77734375" customWidth="1"/>
    <col min="5" max="6" width="12.77734375" customWidth="1"/>
    <col min="7" max="7" width="16.77734375" customWidth="1"/>
    <col min="8" max="8" width="26.77734375" customWidth="1"/>
    <col min="9" max="9" width="14.77734375" customWidth="1"/>
    <col min="10" max="11" width="12.77734375" customWidth="1"/>
    <col min="12" max="12" width="20.77734375" customWidth="1"/>
    <col min="13" max="13" width="14.77734375" customWidth="1"/>
    <col min="14" max="14" width="44.77734375" customWidth="1"/>
  </cols>
  <sheetData>
    <row r="1" spans="1:14" ht="30" customHeight="1">
      <c r="A1" s="11" t="s">
        <v>1138</v>
      </c>
      <c r="B1" s="12" t="s">
        <v>1139</v>
      </c>
      <c r="C1" s="12" t="s">
        <v>1140</v>
      </c>
      <c r="D1" s="12" t="s">
        <v>1141</v>
      </c>
      <c r="E1" s="12" t="s">
        <v>1142</v>
      </c>
      <c r="F1" s="12" t="s">
        <v>1143</v>
      </c>
      <c r="G1" s="12" t="s">
        <v>1144</v>
      </c>
      <c r="H1" s="12" t="s">
        <v>1145</v>
      </c>
      <c r="I1" s="12" t="s">
        <v>1146</v>
      </c>
      <c r="J1" s="12" t="s">
        <v>202</v>
      </c>
      <c r="K1" s="12" t="s">
        <v>1013</v>
      </c>
      <c r="L1" s="12" t="s">
        <v>1147</v>
      </c>
      <c r="M1" s="12" t="s">
        <v>1148</v>
      </c>
      <c r="N1" s="13" t="s">
        <v>18</v>
      </c>
    </row>
    <row r="2" spans="1:14" ht="15.6" customHeight="1">
      <c r="A2" s="9" t="s">
        <v>1149</v>
      </c>
      <c r="B2" s="8" t="s">
        <v>1150</v>
      </c>
      <c r="C2" s="8" t="s">
        <v>19</v>
      </c>
      <c r="D2" s="8">
        <v>1</v>
      </c>
      <c r="E2" s="17">
        <v>0.18</v>
      </c>
      <c r="F2" s="17">
        <v>0.35</v>
      </c>
      <c r="G2" s="8" t="s">
        <v>1151</v>
      </c>
      <c r="H2" s="8" t="s">
        <v>1152</v>
      </c>
      <c r="I2" s="8">
        <v>1</v>
      </c>
      <c r="J2" s="8">
        <v>100</v>
      </c>
      <c r="K2" s="19">
        <v>0.3</v>
      </c>
      <c r="L2" s="8" t="s">
        <v>1153</v>
      </c>
      <c r="M2" s="8">
        <f t="shared" ref="M2:M24" si="0">IF(AND(ISNUMBER(E2),ISNUMBER(I2)),ROUND(E2*I2,2),IF(ISNUMBER(J2),J2&amp;" 权重","按入口"))</f>
        <v>0.18</v>
      </c>
      <c r="N2" s="10" t="s">
        <v>1154</v>
      </c>
    </row>
    <row r="3" spans="1:14" ht="15.6" customHeight="1">
      <c r="A3" s="9" t="s">
        <v>1155</v>
      </c>
      <c r="B3" s="8" t="s">
        <v>1156</v>
      </c>
      <c r="C3" s="8" t="s">
        <v>26</v>
      </c>
      <c r="D3" s="8">
        <v>1</v>
      </c>
      <c r="E3" s="17">
        <v>0.12</v>
      </c>
      <c r="F3" s="17">
        <v>0.25</v>
      </c>
      <c r="G3" s="8" t="s">
        <v>1151</v>
      </c>
      <c r="H3" s="8" t="s">
        <v>1152</v>
      </c>
      <c r="I3" s="8">
        <v>1</v>
      </c>
      <c r="J3" s="8">
        <v>100</v>
      </c>
      <c r="K3" s="19">
        <v>0.3</v>
      </c>
      <c r="L3" s="8" t="s">
        <v>1153</v>
      </c>
      <c r="M3" s="8">
        <f t="shared" si="0"/>
        <v>0.12</v>
      </c>
      <c r="N3" s="10" t="s">
        <v>1157</v>
      </c>
    </row>
    <row r="4" spans="1:14" ht="15.6" customHeight="1">
      <c r="A4" s="9" t="s">
        <v>1158</v>
      </c>
      <c r="B4" s="8" t="s">
        <v>1159</v>
      </c>
      <c r="C4" s="8" t="s">
        <v>32</v>
      </c>
      <c r="D4" s="8">
        <v>1</v>
      </c>
      <c r="E4" s="17">
        <v>0.18</v>
      </c>
      <c r="F4" s="17">
        <v>0.35</v>
      </c>
      <c r="G4" s="8" t="s">
        <v>1151</v>
      </c>
      <c r="H4" s="8" t="s">
        <v>1152</v>
      </c>
      <c r="I4" s="8">
        <v>1</v>
      </c>
      <c r="J4" s="8">
        <v>100</v>
      </c>
      <c r="K4" s="19">
        <v>0.3</v>
      </c>
      <c r="L4" s="8" t="s">
        <v>1153</v>
      </c>
      <c r="M4" s="8">
        <f t="shared" si="0"/>
        <v>0.18</v>
      </c>
      <c r="N4" s="10" t="s">
        <v>1160</v>
      </c>
    </row>
    <row r="5" spans="1:14" ht="15.6" customHeight="1">
      <c r="A5" s="9" t="s">
        <v>1161</v>
      </c>
      <c r="B5" s="8" t="s">
        <v>1159</v>
      </c>
      <c r="C5" s="8" t="s">
        <v>38</v>
      </c>
      <c r="D5" s="8">
        <v>1</v>
      </c>
      <c r="E5" s="17">
        <v>0.18</v>
      </c>
      <c r="F5" s="17">
        <v>0.35</v>
      </c>
      <c r="G5" s="8" t="s">
        <v>1151</v>
      </c>
      <c r="H5" s="8" t="s">
        <v>1152</v>
      </c>
      <c r="I5" s="8">
        <v>1</v>
      </c>
      <c r="J5" s="8">
        <v>100</v>
      </c>
      <c r="K5" s="19">
        <v>0.3</v>
      </c>
      <c r="L5" s="8" t="s">
        <v>1153</v>
      </c>
      <c r="M5" s="8">
        <f t="shared" si="0"/>
        <v>0.18</v>
      </c>
      <c r="N5" s="10" t="s">
        <v>1162</v>
      </c>
    </row>
    <row r="6" spans="1:14" ht="15.6" customHeight="1">
      <c r="A6" s="9" t="s">
        <v>1163</v>
      </c>
      <c r="B6" s="8" t="s">
        <v>1164</v>
      </c>
      <c r="C6" s="8" t="s">
        <v>43</v>
      </c>
      <c r="D6" s="8">
        <v>1</v>
      </c>
      <c r="E6" s="17">
        <v>0.18</v>
      </c>
      <c r="F6" s="17">
        <v>0.35</v>
      </c>
      <c r="G6" s="8" t="s">
        <v>1151</v>
      </c>
      <c r="H6" s="8" t="s">
        <v>1152</v>
      </c>
      <c r="I6" s="8">
        <v>1</v>
      </c>
      <c r="J6" s="8">
        <v>100</v>
      </c>
      <c r="K6" s="19">
        <v>0.3</v>
      </c>
      <c r="L6" s="8" t="s">
        <v>1153</v>
      </c>
      <c r="M6" s="8">
        <f t="shared" si="0"/>
        <v>0.18</v>
      </c>
      <c r="N6" s="10" t="s">
        <v>1165</v>
      </c>
    </row>
    <row r="7" spans="1:14" ht="31.2" customHeight="1">
      <c r="A7" s="9" t="s">
        <v>1166</v>
      </c>
      <c r="B7" s="8" t="s">
        <v>1167</v>
      </c>
      <c r="C7" s="8" t="s">
        <v>49</v>
      </c>
      <c r="D7" s="8">
        <v>2</v>
      </c>
      <c r="E7" s="17">
        <v>0.3</v>
      </c>
      <c r="F7" s="17">
        <v>0.6</v>
      </c>
      <c r="G7" s="8" t="s">
        <v>1151</v>
      </c>
      <c r="H7" s="8" t="s">
        <v>1168</v>
      </c>
      <c r="I7" s="8">
        <v>1</v>
      </c>
      <c r="J7" s="8">
        <v>100</v>
      </c>
      <c r="K7" s="19">
        <v>0.5</v>
      </c>
      <c r="L7" s="8" t="s">
        <v>1169</v>
      </c>
      <c r="M7" s="8">
        <f t="shared" si="0"/>
        <v>0.3</v>
      </c>
      <c r="N7" s="10" t="s">
        <v>1170</v>
      </c>
    </row>
    <row r="8" spans="1:14" ht="31.2" customHeight="1">
      <c r="A8" s="9" t="s">
        <v>1171</v>
      </c>
      <c r="B8" s="8" t="s">
        <v>1167</v>
      </c>
      <c r="C8" s="8" t="s">
        <v>56</v>
      </c>
      <c r="D8" s="8">
        <v>2</v>
      </c>
      <c r="E8" s="17">
        <v>0.32</v>
      </c>
      <c r="F8" s="17">
        <v>0.6</v>
      </c>
      <c r="G8" s="8" t="s">
        <v>1151</v>
      </c>
      <c r="H8" s="8" t="s">
        <v>1168</v>
      </c>
      <c r="I8" s="8">
        <v>1</v>
      </c>
      <c r="J8" s="8">
        <v>100</v>
      </c>
      <c r="K8" s="19">
        <v>0.5</v>
      </c>
      <c r="L8" s="8" t="s">
        <v>1169</v>
      </c>
      <c r="M8" s="8">
        <f t="shared" si="0"/>
        <v>0.32</v>
      </c>
      <c r="N8" s="10" t="s">
        <v>1172</v>
      </c>
    </row>
    <row r="9" spans="1:14" ht="15.6" customHeight="1">
      <c r="A9" s="9" t="s">
        <v>1173</v>
      </c>
      <c r="B9" s="8" t="s">
        <v>1167</v>
      </c>
      <c r="C9" s="8" t="s">
        <v>62</v>
      </c>
      <c r="D9" s="8">
        <v>2</v>
      </c>
      <c r="E9" s="17">
        <v>0.35</v>
      </c>
      <c r="F9" s="17">
        <v>0.6</v>
      </c>
      <c r="G9" s="8" t="s">
        <v>1151</v>
      </c>
      <c r="H9" s="8" t="s">
        <v>1168</v>
      </c>
      <c r="I9" s="8">
        <v>1</v>
      </c>
      <c r="J9" s="8">
        <v>100</v>
      </c>
      <c r="K9" s="19">
        <v>0.5</v>
      </c>
      <c r="L9" s="8" t="s">
        <v>1169</v>
      </c>
      <c r="M9" s="8">
        <f t="shared" si="0"/>
        <v>0.35</v>
      </c>
      <c r="N9" s="10" t="s">
        <v>1174</v>
      </c>
    </row>
    <row r="10" spans="1:14" ht="15.6" customHeight="1">
      <c r="A10" s="9" t="s">
        <v>1175</v>
      </c>
      <c r="B10" s="8" t="s">
        <v>1176</v>
      </c>
      <c r="C10" s="8" t="s">
        <v>68</v>
      </c>
      <c r="D10" s="8">
        <v>4</v>
      </c>
      <c r="E10" s="17">
        <v>1</v>
      </c>
      <c r="F10" s="17">
        <v>1</v>
      </c>
      <c r="G10" s="8" t="s">
        <v>1151</v>
      </c>
      <c r="H10" s="8" t="s">
        <v>1177</v>
      </c>
      <c r="I10" s="8">
        <v>1</v>
      </c>
      <c r="J10" s="8">
        <v>100</v>
      </c>
      <c r="K10" s="19">
        <v>0.8</v>
      </c>
      <c r="L10" s="8" t="s">
        <v>1178</v>
      </c>
      <c r="M10" s="8">
        <f t="shared" si="0"/>
        <v>1</v>
      </c>
      <c r="N10" s="10" t="s">
        <v>1179</v>
      </c>
    </row>
    <row r="11" spans="1:14" ht="15.6" customHeight="1">
      <c r="A11" s="9" t="s">
        <v>1180</v>
      </c>
      <c r="B11" s="8" t="s">
        <v>77</v>
      </c>
      <c r="C11" s="8" t="s">
        <v>75</v>
      </c>
      <c r="D11" s="8">
        <v>12</v>
      </c>
      <c r="E11" s="17">
        <v>1</v>
      </c>
      <c r="F11" s="17">
        <v>1</v>
      </c>
      <c r="G11" s="8" t="s">
        <v>1181</v>
      </c>
      <c r="H11" s="8" t="s">
        <v>1182</v>
      </c>
      <c r="I11" s="8" t="s">
        <v>1183</v>
      </c>
      <c r="J11" s="8">
        <v>100</v>
      </c>
      <c r="K11" s="19">
        <v>0</v>
      </c>
      <c r="L11" s="8" t="s">
        <v>1184</v>
      </c>
      <c r="M11" s="8" t="str">
        <f t="shared" si="0"/>
        <v>100 权重</v>
      </c>
      <c r="N11" s="10" t="s">
        <v>1185</v>
      </c>
    </row>
    <row r="12" spans="1:14" ht="15.6" customHeight="1">
      <c r="A12" s="9" t="s">
        <v>1186</v>
      </c>
      <c r="B12" s="8" t="s">
        <v>1187</v>
      </c>
      <c r="C12" s="8" t="s">
        <v>1152</v>
      </c>
      <c r="D12" s="8">
        <v>0</v>
      </c>
      <c r="E12" s="17" t="s">
        <v>687</v>
      </c>
      <c r="F12" s="17" t="s">
        <v>687</v>
      </c>
      <c r="G12" s="8" t="s">
        <v>1188</v>
      </c>
      <c r="H12" s="8" t="s">
        <v>1189</v>
      </c>
      <c r="I12" s="8">
        <v>1</v>
      </c>
      <c r="J12" s="8">
        <v>100</v>
      </c>
      <c r="K12" s="19">
        <v>0.3</v>
      </c>
      <c r="L12" s="8" t="s">
        <v>1153</v>
      </c>
      <c r="M12" s="8" t="str">
        <f t="shared" si="0"/>
        <v>100 权重</v>
      </c>
      <c r="N12" s="10" t="s">
        <v>1190</v>
      </c>
    </row>
    <row r="13" spans="1:14" ht="15.6" customHeight="1">
      <c r="A13" s="9" t="s">
        <v>1191</v>
      </c>
      <c r="B13" s="8" t="s">
        <v>1187</v>
      </c>
      <c r="C13" s="8" t="s">
        <v>1168</v>
      </c>
      <c r="D13" s="8">
        <v>0</v>
      </c>
      <c r="E13" s="17" t="s">
        <v>687</v>
      </c>
      <c r="F13" s="17" t="s">
        <v>687</v>
      </c>
      <c r="G13" s="8" t="s">
        <v>1188</v>
      </c>
      <c r="H13" s="8" t="s">
        <v>1189</v>
      </c>
      <c r="I13" s="8">
        <v>1</v>
      </c>
      <c r="J13" s="8">
        <v>90</v>
      </c>
      <c r="K13" s="19">
        <v>0.3</v>
      </c>
      <c r="L13" s="8" t="s">
        <v>1192</v>
      </c>
      <c r="M13" s="8" t="str">
        <f t="shared" si="0"/>
        <v>90 权重</v>
      </c>
      <c r="N13" s="10" t="s">
        <v>1193</v>
      </c>
    </row>
    <row r="14" spans="1:14" ht="15.6" customHeight="1">
      <c r="A14" s="9" t="s">
        <v>1194</v>
      </c>
      <c r="B14" s="8" t="s">
        <v>1187</v>
      </c>
      <c r="C14" s="8" t="s">
        <v>1168</v>
      </c>
      <c r="D14" s="8">
        <v>0</v>
      </c>
      <c r="E14" s="17" t="s">
        <v>687</v>
      </c>
      <c r="F14" s="17" t="s">
        <v>687</v>
      </c>
      <c r="G14" s="8" t="s">
        <v>1195</v>
      </c>
      <c r="H14" s="8" t="s">
        <v>1196</v>
      </c>
      <c r="I14" s="8">
        <v>1</v>
      </c>
      <c r="J14" s="8">
        <v>10</v>
      </c>
      <c r="K14" s="19">
        <v>0.8</v>
      </c>
      <c r="L14" s="8" t="s">
        <v>1197</v>
      </c>
      <c r="M14" s="8" t="str">
        <f t="shared" si="0"/>
        <v>10 权重</v>
      </c>
      <c r="N14" s="10" t="s">
        <v>1198</v>
      </c>
    </row>
    <row r="15" spans="1:14" ht="15.6" customHeight="1">
      <c r="A15" s="9" t="s">
        <v>1199</v>
      </c>
      <c r="B15" s="8" t="s">
        <v>1187</v>
      </c>
      <c r="C15" s="8" t="s">
        <v>1177</v>
      </c>
      <c r="D15" s="8">
        <v>0</v>
      </c>
      <c r="E15" s="17" t="s">
        <v>687</v>
      </c>
      <c r="F15" s="17" t="s">
        <v>687</v>
      </c>
      <c r="G15" s="8" t="s">
        <v>1200</v>
      </c>
      <c r="H15" s="8" t="s">
        <v>1201</v>
      </c>
      <c r="I15" s="8">
        <v>8</v>
      </c>
      <c r="J15" s="8">
        <v>70</v>
      </c>
      <c r="K15" s="19">
        <v>0.3</v>
      </c>
      <c r="L15" s="8" t="s">
        <v>1202</v>
      </c>
      <c r="M15" s="8" t="str">
        <f t="shared" si="0"/>
        <v>70 权重</v>
      </c>
      <c r="N15" s="10" t="s">
        <v>1203</v>
      </c>
    </row>
    <row r="16" spans="1:14" ht="15.6" customHeight="1">
      <c r="A16" s="9" t="s">
        <v>1204</v>
      </c>
      <c r="B16" s="8" t="s">
        <v>1187</v>
      </c>
      <c r="C16" s="8" t="s">
        <v>1177</v>
      </c>
      <c r="D16" s="8">
        <v>0</v>
      </c>
      <c r="E16" s="17" t="s">
        <v>687</v>
      </c>
      <c r="F16" s="17" t="s">
        <v>687</v>
      </c>
      <c r="G16" s="8" t="s">
        <v>1195</v>
      </c>
      <c r="H16" s="8" t="s">
        <v>1196</v>
      </c>
      <c r="I16" s="8">
        <v>1</v>
      </c>
      <c r="J16" s="8">
        <v>30</v>
      </c>
      <c r="K16" s="19">
        <v>0.8</v>
      </c>
      <c r="L16" s="8" t="s">
        <v>1205</v>
      </c>
      <c r="M16" s="8" t="str">
        <f t="shared" si="0"/>
        <v>30 权重</v>
      </c>
      <c r="N16" s="10" t="s">
        <v>1206</v>
      </c>
    </row>
    <row r="17" spans="1:14" ht="15.6" customHeight="1">
      <c r="A17" s="9" t="s">
        <v>1207</v>
      </c>
      <c r="B17" s="8" t="s">
        <v>1208</v>
      </c>
      <c r="C17" s="8" t="s">
        <v>1196</v>
      </c>
      <c r="D17" s="8">
        <v>0</v>
      </c>
      <c r="E17" s="17" t="s">
        <v>687</v>
      </c>
      <c r="F17" s="17" t="s">
        <v>687</v>
      </c>
      <c r="G17" s="8" t="s">
        <v>1200</v>
      </c>
      <c r="H17" s="8" t="s">
        <v>1209</v>
      </c>
      <c r="I17" s="8">
        <v>12</v>
      </c>
      <c r="J17" s="8">
        <v>55</v>
      </c>
      <c r="K17" s="19">
        <v>0.3</v>
      </c>
      <c r="L17" s="8" t="s">
        <v>1210</v>
      </c>
      <c r="M17" s="8" t="str">
        <f t="shared" si="0"/>
        <v>55 权重</v>
      </c>
      <c r="N17" s="10" t="s">
        <v>1211</v>
      </c>
    </row>
    <row r="18" spans="1:14" ht="15.6" customHeight="1">
      <c r="A18" s="9" t="s">
        <v>1212</v>
      </c>
      <c r="B18" s="8" t="s">
        <v>1208</v>
      </c>
      <c r="C18" s="8" t="s">
        <v>1196</v>
      </c>
      <c r="D18" s="8">
        <v>0</v>
      </c>
      <c r="E18" s="17" t="s">
        <v>687</v>
      </c>
      <c r="F18" s="17" t="s">
        <v>687</v>
      </c>
      <c r="G18" s="8" t="s">
        <v>1213</v>
      </c>
      <c r="H18" s="8" t="s">
        <v>1020</v>
      </c>
      <c r="I18" s="8">
        <v>1</v>
      </c>
      <c r="J18" s="8">
        <v>25</v>
      </c>
      <c r="K18" s="19">
        <v>-0.4</v>
      </c>
      <c r="L18" s="8" t="s">
        <v>1214</v>
      </c>
      <c r="M18" s="8" t="str">
        <f t="shared" si="0"/>
        <v>25 权重</v>
      </c>
      <c r="N18" s="10" t="s">
        <v>1215</v>
      </c>
    </row>
    <row r="19" spans="1:14" ht="15.6" customHeight="1">
      <c r="A19" s="9" t="s">
        <v>1216</v>
      </c>
      <c r="B19" s="8" t="s">
        <v>1208</v>
      </c>
      <c r="C19" s="8" t="s">
        <v>1196</v>
      </c>
      <c r="D19" s="8">
        <v>0</v>
      </c>
      <c r="E19" s="17" t="s">
        <v>687</v>
      </c>
      <c r="F19" s="17" t="s">
        <v>687</v>
      </c>
      <c r="G19" s="8" t="s">
        <v>1213</v>
      </c>
      <c r="H19" s="8" t="s">
        <v>1026</v>
      </c>
      <c r="I19" s="8">
        <v>1</v>
      </c>
      <c r="J19" s="8">
        <v>15</v>
      </c>
      <c r="K19" s="19">
        <v>1</v>
      </c>
      <c r="L19" s="8" t="s">
        <v>1217</v>
      </c>
      <c r="M19" s="8" t="str">
        <f t="shared" si="0"/>
        <v>15 权重</v>
      </c>
      <c r="N19" s="10" t="s">
        <v>1218</v>
      </c>
    </row>
    <row r="20" spans="1:14" ht="15.6" customHeight="1">
      <c r="A20" s="9" t="s">
        <v>1219</v>
      </c>
      <c r="B20" s="8" t="s">
        <v>1208</v>
      </c>
      <c r="C20" s="8" t="s">
        <v>1196</v>
      </c>
      <c r="D20" s="8">
        <v>0</v>
      </c>
      <c r="E20" s="17" t="s">
        <v>687</v>
      </c>
      <c r="F20" s="17" t="s">
        <v>687</v>
      </c>
      <c r="G20" s="8" t="s">
        <v>1220</v>
      </c>
      <c r="H20" s="8" t="s">
        <v>1221</v>
      </c>
      <c r="I20" s="8">
        <v>1</v>
      </c>
      <c r="J20" s="8">
        <v>5</v>
      </c>
      <c r="K20" s="19">
        <v>0.5</v>
      </c>
      <c r="L20" s="8" t="s">
        <v>1222</v>
      </c>
      <c r="M20" s="8" t="str">
        <f t="shared" si="0"/>
        <v>5 权重</v>
      </c>
      <c r="N20" s="10" t="s">
        <v>1223</v>
      </c>
    </row>
    <row r="21" spans="1:14" ht="15.6" customHeight="1">
      <c r="A21" s="9" t="s">
        <v>1224</v>
      </c>
      <c r="B21" s="8" t="s">
        <v>1225</v>
      </c>
      <c r="C21" s="8" t="s">
        <v>1182</v>
      </c>
      <c r="D21" s="8">
        <v>0</v>
      </c>
      <c r="E21" s="17" t="s">
        <v>687</v>
      </c>
      <c r="F21" s="17" t="s">
        <v>687</v>
      </c>
      <c r="G21" s="8" t="s">
        <v>1226</v>
      </c>
      <c r="H21" s="8" t="s">
        <v>1227</v>
      </c>
      <c r="I21" s="8">
        <v>1</v>
      </c>
      <c r="J21" s="8">
        <v>35</v>
      </c>
      <c r="K21" s="19">
        <v>0.6</v>
      </c>
      <c r="L21" s="8" t="s">
        <v>1228</v>
      </c>
      <c r="M21" s="8" t="str">
        <f t="shared" si="0"/>
        <v>35 权重</v>
      </c>
      <c r="N21" s="10" t="s">
        <v>1229</v>
      </c>
    </row>
    <row r="22" spans="1:14" ht="15.6" customHeight="1">
      <c r="A22" s="9" t="s">
        <v>1230</v>
      </c>
      <c r="B22" s="8" t="s">
        <v>1225</v>
      </c>
      <c r="C22" s="8" t="s">
        <v>1182</v>
      </c>
      <c r="D22" s="8">
        <v>0</v>
      </c>
      <c r="E22" s="17" t="s">
        <v>687</v>
      </c>
      <c r="F22" s="17" t="s">
        <v>687</v>
      </c>
      <c r="G22" s="8" t="s">
        <v>1231</v>
      </c>
      <c r="H22" s="8" t="s">
        <v>1232</v>
      </c>
      <c r="I22" s="8">
        <v>1</v>
      </c>
      <c r="J22" s="8">
        <v>35</v>
      </c>
      <c r="K22" s="19">
        <v>1</v>
      </c>
      <c r="L22" s="8" t="s">
        <v>1233</v>
      </c>
      <c r="M22" s="8" t="str">
        <f t="shared" si="0"/>
        <v>35 权重</v>
      </c>
      <c r="N22" s="10" t="s">
        <v>1234</v>
      </c>
    </row>
    <row r="23" spans="1:14" ht="31.2" customHeight="1">
      <c r="A23" s="9" t="s">
        <v>1235</v>
      </c>
      <c r="B23" s="8" t="s">
        <v>1225</v>
      </c>
      <c r="C23" s="8" t="s">
        <v>1182</v>
      </c>
      <c r="D23" s="8">
        <v>0</v>
      </c>
      <c r="E23" s="17" t="s">
        <v>687</v>
      </c>
      <c r="F23" s="17" t="s">
        <v>687</v>
      </c>
      <c r="G23" s="8" t="s">
        <v>1236</v>
      </c>
      <c r="H23" s="8" t="s">
        <v>1237</v>
      </c>
      <c r="I23" s="8">
        <v>1</v>
      </c>
      <c r="J23" s="8">
        <v>20</v>
      </c>
      <c r="K23" s="19">
        <v>0</v>
      </c>
      <c r="L23" s="8" t="s">
        <v>1238</v>
      </c>
      <c r="M23" s="8" t="str">
        <f t="shared" si="0"/>
        <v>20 权重</v>
      </c>
      <c r="N23" s="10" t="s">
        <v>1239</v>
      </c>
    </row>
    <row r="24" spans="1:14" ht="15.6" customHeight="1">
      <c r="A24" s="14" t="s">
        <v>1240</v>
      </c>
      <c r="B24" s="15" t="s">
        <v>1225</v>
      </c>
      <c r="C24" s="15" t="s">
        <v>1182</v>
      </c>
      <c r="D24" s="15">
        <v>0</v>
      </c>
      <c r="E24" s="18" t="s">
        <v>687</v>
      </c>
      <c r="F24" s="18" t="s">
        <v>687</v>
      </c>
      <c r="G24" s="15" t="s">
        <v>1200</v>
      </c>
      <c r="H24" s="15" t="s">
        <v>1241</v>
      </c>
      <c r="I24" s="15">
        <v>40</v>
      </c>
      <c r="J24" s="15">
        <v>10</v>
      </c>
      <c r="K24" s="20">
        <v>0.3</v>
      </c>
      <c r="L24" s="15" t="s">
        <v>1242</v>
      </c>
      <c r="M24" s="15" t="str">
        <f t="shared" si="0"/>
        <v>10 权重</v>
      </c>
      <c r="N24" s="16" t="s">
        <v>1243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5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8" customWidth="1"/>
    <col min="2" max="2" width="8" customWidth="1"/>
    <col min="3" max="3" width="18" customWidth="1"/>
    <col min="4" max="4" width="36" customWidth="1"/>
    <col min="5" max="5" width="34" customWidth="1"/>
    <col min="6" max="6" width="18" customWidth="1"/>
    <col min="7" max="8" width="14" customWidth="1"/>
    <col min="9" max="10" width="12" customWidth="1"/>
    <col min="11" max="11" width="18" customWidth="1"/>
    <col min="12" max="12" width="34" customWidth="1"/>
    <col min="13" max="13" width="28" customWidth="1"/>
    <col min="14" max="14" width="30" customWidth="1"/>
    <col min="15" max="15" width="18" customWidth="1"/>
    <col min="16" max="16" width="42" customWidth="1"/>
  </cols>
  <sheetData>
    <row r="1" spans="1:16" ht="30" customHeight="1">
      <c r="A1" s="4" t="s">
        <v>1244</v>
      </c>
      <c r="B1" s="4" t="s">
        <v>1245</v>
      </c>
      <c r="C1" s="4" t="s">
        <v>1246</v>
      </c>
      <c r="D1" s="4" t="s">
        <v>1247</v>
      </c>
      <c r="E1" s="4" t="s">
        <v>1248</v>
      </c>
      <c r="F1" s="4" t="s">
        <v>1249</v>
      </c>
      <c r="G1" s="4" t="s">
        <v>1250</v>
      </c>
      <c r="H1" s="4" t="s">
        <v>1251</v>
      </c>
      <c r="I1" s="4" t="s">
        <v>1252</v>
      </c>
      <c r="J1" s="4" t="s">
        <v>1253</v>
      </c>
      <c r="K1" s="4" t="s">
        <v>1254</v>
      </c>
      <c r="L1" s="4" t="s">
        <v>1255</v>
      </c>
      <c r="M1" s="4" t="s">
        <v>1256</v>
      </c>
      <c r="N1" s="4" t="s">
        <v>1257</v>
      </c>
      <c r="O1" s="4" t="s">
        <v>1258</v>
      </c>
      <c r="P1" s="4" t="s">
        <v>1259</v>
      </c>
    </row>
    <row r="2" spans="1:16" ht="31.2" customHeight="1">
      <c r="A2" s="5" t="s">
        <v>1260</v>
      </c>
      <c r="B2" s="5">
        <v>5</v>
      </c>
      <c r="C2" s="5" t="s">
        <v>1261</v>
      </c>
      <c r="D2" s="5" t="s">
        <v>1262</v>
      </c>
      <c r="E2" s="5" t="s">
        <v>1263</v>
      </c>
      <c r="F2" s="5" t="s">
        <v>1264</v>
      </c>
      <c r="G2" s="7">
        <v>90</v>
      </c>
      <c r="H2" s="7">
        <v>200</v>
      </c>
      <c r="I2" s="7">
        <v>145</v>
      </c>
      <c r="J2" s="6">
        <v>5</v>
      </c>
      <c r="K2" s="5" t="s">
        <v>1265</v>
      </c>
      <c r="L2" s="5" t="s">
        <v>1266</v>
      </c>
      <c r="M2" s="5" t="str">
        <f>IFERROR("清场需求 "&amp;VLOOKUP("Wave_005",'08_波次'!$A:$P,9,FALSE)&amp;"；需求/群体 "&amp;TEXT(VLOOKUP("Wave_005",'08_波次'!$A:$P,9,FALSE)/H2,"0.00x"),"")</f>
        <v>清场需求 164；需求/群体 0.82x</v>
      </c>
      <c r="N2" s="5" t="s">
        <v>1267</v>
      </c>
      <c r="O2" s="5" t="s">
        <v>1268</v>
      </c>
      <c r="P2" s="5" t="s">
        <v>1269</v>
      </c>
    </row>
    <row r="3" spans="1:16" ht="31.2" customHeight="1">
      <c r="A3" s="5" t="s">
        <v>1270</v>
      </c>
      <c r="B3" s="5">
        <v>10</v>
      </c>
      <c r="C3" s="5" t="s">
        <v>1271</v>
      </c>
      <c r="D3" s="5" t="s">
        <v>1272</v>
      </c>
      <c r="E3" s="5" t="s">
        <v>1273</v>
      </c>
      <c r="F3" s="5" t="s">
        <v>1274</v>
      </c>
      <c r="G3" s="7">
        <v>240</v>
      </c>
      <c r="H3" s="7">
        <v>550</v>
      </c>
      <c r="I3" s="7">
        <v>235</v>
      </c>
      <c r="J3" s="6">
        <v>4.5</v>
      </c>
      <c r="K3" s="5" t="s">
        <v>1275</v>
      </c>
      <c r="L3" s="5" t="s">
        <v>1276</v>
      </c>
      <c r="M3" s="5" t="str">
        <f>IFERROR("清场需求 "&amp;VLOOKUP("Wave_010",'08_波次'!$A:$P,9,FALSE)&amp;"；需求/群体 "&amp;TEXT(VLOOKUP("Wave_010",'08_波次'!$A:$P,9,FALSE)/H3,"0.00x"),"")</f>
        <v>清场需求 583；需求/群体 1.06x</v>
      </c>
      <c r="N3" s="5" t="s">
        <v>1277</v>
      </c>
      <c r="O3" s="5" t="s">
        <v>1268</v>
      </c>
      <c r="P3" s="5" t="s">
        <v>1278</v>
      </c>
    </row>
    <row r="4" spans="1:16" ht="31.2" customHeight="1">
      <c r="A4" s="5" t="s">
        <v>1279</v>
      </c>
      <c r="B4" s="5">
        <v>15</v>
      </c>
      <c r="C4" s="5" t="s">
        <v>1280</v>
      </c>
      <c r="D4" s="5" t="s">
        <v>1281</v>
      </c>
      <c r="E4" s="5" t="s">
        <v>1282</v>
      </c>
      <c r="F4" s="5" t="s">
        <v>1283</v>
      </c>
      <c r="G4" s="7">
        <v>525</v>
      </c>
      <c r="H4" s="7">
        <v>1250</v>
      </c>
      <c r="I4" s="7">
        <v>400</v>
      </c>
      <c r="J4" s="6">
        <v>4</v>
      </c>
      <c r="K4" s="5" t="s">
        <v>1284</v>
      </c>
      <c r="L4" s="5" t="s">
        <v>1285</v>
      </c>
      <c r="M4" s="5" t="str">
        <f>IFERROR("清场需求 "&amp;VLOOKUP("Wave_015",'08_波次'!$A:$P,9,FALSE)&amp;"；需求/群体 "&amp;TEXT(VLOOKUP("Wave_015",'08_波次'!$A:$P,9,FALSE)/H4,"0.00x"),"")</f>
        <v>清场需求 1769；需求/群体 1.42x</v>
      </c>
      <c r="N4" s="5" t="s">
        <v>1286</v>
      </c>
      <c r="O4" s="5" t="s">
        <v>1268</v>
      </c>
      <c r="P4" s="5" t="s">
        <v>1287</v>
      </c>
    </row>
    <row r="5" spans="1:16" ht="31.2" customHeight="1">
      <c r="A5" s="5" t="s">
        <v>1288</v>
      </c>
      <c r="B5" s="5">
        <v>20</v>
      </c>
      <c r="C5" s="5" t="s">
        <v>1289</v>
      </c>
      <c r="D5" s="5" t="s">
        <v>1290</v>
      </c>
      <c r="E5" s="5" t="s">
        <v>1291</v>
      </c>
      <c r="F5" s="5" t="s">
        <v>1292</v>
      </c>
      <c r="G5" s="7">
        <v>975</v>
      </c>
      <c r="H5" s="7">
        <v>2500</v>
      </c>
      <c r="I5" s="7">
        <v>650</v>
      </c>
      <c r="J5" s="6">
        <v>3.5</v>
      </c>
      <c r="K5" s="5" t="s">
        <v>1293</v>
      </c>
      <c r="L5" s="5" t="s">
        <v>1294</v>
      </c>
      <c r="M5" s="5" t="str">
        <f>IFERROR("清场需求 "&amp;VLOOKUP("Wave_020",'08_波次'!$A:$P,9,FALSE)&amp;"；需求/群体 "&amp;TEXT(VLOOKUP("Wave_020",'08_波次'!$A:$P,9,FALSE)/H5,"0.00x"),"")</f>
        <v>清场需求 5600；需求/群体 2.24x</v>
      </c>
      <c r="N5" s="5" t="s">
        <v>1295</v>
      </c>
      <c r="O5" s="5" t="s">
        <v>1268</v>
      </c>
      <c r="P5" s="5" t="s">
        <v>1296</v>
      </c>
    </row>
  </sheetData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00_说明</vt:lpstr>
      <vt:lpstr>参数参考</vt:lpstr>
      <vt:lpstr>01_属性价值</vt:lpstr>
      <vt:lpstr>02_升级卡</vt:lpstr>
      <vt:lpstr>03_饰品</vt:lpstr>
      <vt:lpstr>04_武器主表</vt:lpstr>
      <vt:lpstr>05_武器等级</vt:lpstr>
      <vt:lpstr>06_怪物主表</vt:lpstr>
      <vt:lpstr>07_怪物波次池</vt:lpstr>
      <vt:lpstr>08_波次</vt:lpstr>
      <vt:lpstr>09_商店内容池</vt:lpstr>
      <vt:lpstr>10_掉落奖励池</vt:lpstr>
      <vt:lpstr>11_校验汇总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鑫荣 敖</cp:lastModifiedBy>
  <dcterms:created xsi:type="dcterms:W3CDTF">2026-05-14T14:16:06Z</dcterms:created>
  <dcterms:modified xsi:type="dcterms:W3CDTF">2026-05-15T23:14:41Z</dcterms:modified>
</cp:coreProperties>
</file>